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ADME" sheetId="1" state="visible" r:id="rId3"/>
    <sheet name="Assumptions" sheetId="2" state="visible" r:id="rId4"/>
    <sheet name="Pricing_Model" sheetId="3" state="visible" r:id="rId5"/>
    <sheet name="Unit_Economics" sheetId="4" state="visible" r:id="rId6"/>
    <sheet name="Acquisition_Mix" sheetId="5" state="visible" r:id="rId7"/>
    <sheet name="Revenue_Forecast" sheetId="6" state="visible" r:id="rId8"/>
    <sheet name="Char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<sst xmlns="http://schemas.openxmlformats.org/spreadsheetml/2006/main" count="424" uniqueCount="329">
  <si>
    <t xml:space="preserve">IMAGINEER  •  REVENUE PLAN &amp; PRICING MODEL</t>
  </si>
  <si>
    <t xml:space="preserve">Imagineer — Revenue Plan</t>
  </si>
  <si>
    <t xml:space="preserve">Pricing model, unit economics, channel mix, and 5-year revenue forecast.</t>
  </si>
  <si>
    <t xml:space="preserve">Workbook structure</t>
  </si>
  <si>
    <t xml:space="preserve">Assumptions</t>
  </si>
  <si>
    <t xml:space="preserve">Single source of truth — all editable inputs (blue font). Change here; everything else recalculates.</t>
  </si>
  <si>
    <t xml:space="preserve">Pricing_Model</t>
  </si>
  <si>
    <t xml:space="preserve">Object-size × material price grid, with the cost build-up that drives each customer price.</t>
  </si>
  <si>
    <t xml:space="preserve">Unit_Economics</t>
  </si>
  <si>
    <t xml:space="preserve">Per-order revenue, costs, gross margin, CAC, and contribution margin.</t>
  </si>
  <si>
    <t xml:space="preserve">Acquisition_Mix</t>
  </si>
  <si>
    <t xml:space="preserve">New-customer mix by channel with channel-level CAC, weighted blend, and budget allocation.</t>
  </si>
  <si>
    <t xml:space="preserve">Revenue_Forecast</t>
  </si>
  <si>
    <t xml:space="preserve">5-year forecast: new customers, repeat orders, AOV, revenue, gross profit, opex, EBITDA.</t>
  </si>
  <si>
    <t xml:space="preserve">Charts</t>
  </si>
  <si>
    <t xml:space="preserve">Charts: revenue + EBITDA trajectory, channel mix, gross margin bridge.</t>
  </si>
  <si>
    <t xml:space="preserve">Sources</t>
  </si>
  <si>
    <t xml:space="preserve">Citations and URLs for every external benchmark used in the model.</t>
  </si>
  <si>
    <t xml:space="preserve">Conventions</t>
  </si>
  <si>
    <t xml:space="preserve">Blue font</t>
  </si>
  <si>
    <t xml:space="preserve">Editable input — change to update the model.</t>
  </si>
  <si>
    <t xml:space="preserve">Black font</t>
  </si>
  <si>
    <t xml:space="preserve">Computed result — driven by formulas, do not overwrite.</t>
  </si>
  <si>
    <t xml:space="preserve">Navy header</t>
  </si>
  <si>
    <t xml:space="preserve">Top-level header / column title.</t>
  </si>
  <si>
    <t xml:space="preserve">Gold accent</t>
  </si>
  <si>
    <t xml:space="preserve">Visual divider, totals, and section emphasis.</t>
  </si>
  <si>
    <t xml:space="preserve">Light grey</t>
  </si>
  <si>
    <t xml:space="preserve">Alternating row banding for readability.</t>
  </si>
  <si>
    <t xml:space="preserve">How to use</t>
  </si>
  <si>
    <t xml:space="preserve">1. Open the Assumptions tab and update any blue-font inputs to reflect your scenario.</t>
  </si>
  <si>
    <t xml:space="preserve">2. Pricing_Model, Unit_Economics, Acquisition_Mix and Revenue_Forecast all recalculate automatically.</t>
  </si>
  <si>
    <t xml:space="preserve">3. Charts updates are live — refresh in Excel/LibreOffice if values appear stale.</t>
  </si>
  <si>
    <t xml:space="preserve">4. All external benchmarks are cited in the Sources tab. Internal modeling assumptions are noted inline.</t>
  </si>
  <si>
    <t xml:space="preserve">Confidential — for internal use only.</t>
  </si>
  <si>
    <t xml:space="preserve">INPUTS  •  EDIT THESE TO RE-RUN THE MODEL</t>
  </si>
  <si>
    <t xml:space="preserve">Driver</t>
  </si>
  <si>
    <t xml:space="preserve">Value</t>
  </si>
  <si>
    <t xml:space="preserve">Unit</t>
  </si>
  <si>
    <t xml:space="preserve">Source / Note</t>
  </si>
  <si>
    <t xml:space="preserve">A. Material Cost ($ per cm³)</t>
  </si>
  <si>
    <t xml:space="preserve">PLA (matte)</t>
  </si>
  <si>
    <t xml:space="preserve">$/cm³</t>
  </si>
  <si>
    <t xml:space="preserve">Filament @ ~$25/kg, density 1.24 g/cm³ → ~$0.031/cm³ raw + 45% fill efficiency overhead</t>
  </si>
  <si>
    <t xml:space="preserve">PETG</t>
  </si>
  <si>
    <t xml:space="preserve">Filament @ ~$30/kg, slightly higher density and post-processing time</t>
  </si>
  <si>
    <t xml:space="preserve">Standard resin</t>
  </si>
  <si>
    <t xml:space="preserve">MSLA resin @ $50/kg + IPA wash/cure consumables</t>
  </si>
  <si>
    <t xml:space="preserve">Tough resin</t>
  </si>
  <si>
    <t xml:space="preserve">Engineering resins $80–$120/kg per Formlabs and 3rd-party benchmarks</t>
  </si>
  <si>
    <t xml:space="preserve">Multi-color PLA</t>
  </si>
  <si>
    <t xml:space="preserve">AMS/MMU color-change waste (~25–35%) doubles effective filament use</t>
  </si>
  <si>
    <t xml:space="preserve">B. Average Object Volume (cm³ per piece)</t>
  </si>
  <si>
    <t xml:space="preserve">Small (keychain, charm)</t>
  </si>
  <si>
    <t xml:space="preserve">cm³</t>
  </si>
  <si>
    <t xml:space="preserve">Print-volume estimate from typical hobbyist Thingiverse uploads</t>
  </si>
  <si>
    <t xml:space="preserve">Medium (figurine, ornament)</t>
  </si>
  <si>
    <t xml:space="preserve">Standard 28–32mm tabletop miniature on a base</t>
  </si>
  <si>
    <t xml:space="preserve">Large (planter, lamp)</t>
  </si>
  <si>
    <t xml:space="preserve">Functional household items</t>
  </si>
  <si>
    <t xml:space="preserve">XL (statue, multi-part)</t>
  </si>
  <si>
    <t xml:space="preserve">Large decorative pieces; may print in sections</t>
  </si>
  <si>
    <t xml:space="preserve">C. Production Cost Inputs</t>
  </si>
  <si>
    <t xml:space="preserve">Labor rate</t>
  </si>
  <si>
    <t xml:space="preserve">$/hour</t>
  </si>
  <si>
    <t xml:space="preserve">Loaded cost (wage + benefits + facility allocation), US blended</t>
  </si>
  <si>
    <t xml:space="preserve">Labor per piece (avg)</t>
  </si>
  <si>
    <t xml:space="preserve">hours</t>
  </si>
  <si>
    <t xml:space="preserve">12 min cleanup, support removal, QA, packaging</t>
  </si>
  <si>
    <t xml:space="preserve">Equipment amort per cm³</t>
  </si>
  <si>
    <t xml:space="preserve">Printer @ $1500 amortized over 18 months × 35hr/wk × 8 cm³/hr</t>
  </si>
  <si>
    <t xml:space="preserve">Setup fee per order</t>
  </si>
  <si>
    <t xml:space="preserve">$</t>
  </si>
  <si>
    <t xml:space="preserve">AI generation API + slicing compute + order handling</t>
  </si>
  <si>
    <t xml:space="preserve">Markup multiplier</t>
  </si>
  <si>
    <t xml:space="preserve">×</t>
  </si>
  <si>
    <t xml:space="preserve">On total direct cost — mid-market consumer e-comm benchmark</t>
  </si>
  <si>
    <t xml:space="preserve">Shipping cost (avg)</t>
  </si>
  <si>
    <t xml:space="preserve">Blended USPS/UPS small-parcel rate-shopped 2025</t>
  </si>
  <si>
    <t xml:space="preserve">Print failure rate (Y1)</t>
  </si>
  <si>
    <t xml:space="preserve">%</t>
  </si>
  <si>
    <t xml:space="preserve">Industry benchmark: 13–25% on consumer kits, 2–8% on tuned commercial fleets [Formlabs/Prusa]</t>
  </si>
  <si>
    <t xml:space="preserve">AI generation cost / order</t>
  </si>
  <si>
    <t xml:space="preserve">Hosted text-to-3D inference cost — declining curve</t>
  </si>
  <si>
    <t xml:space="preserve">D. Order &amp; Customer Behavior — 5-year trajectory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</si>
  <si>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</si>
  <si>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</si>
  <si>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</si>
  <si>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</si>
  <si>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</si>
  <si>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Source</t>
  </si>
  <si>
    <t xml:space="preserve">New customers</t>
  </si>
  <si>
    <t xml:space="preserve">Top-of-funnel growth driven by marketing budget and channel mix</t>
  </si>
  <si>
    <t xml:space="preserve">Repeat purchase rate</t>
  </si>
  <si>
    <t xml:space="preserve">Ramps from 22%→45%; ecom benchmark avg = 28% [Mobiloud, Opensend]</t>
  </si>
  <si>
    <t xml:space="preserve">Avg orders per repeat</t>
  </si>
  <si>
    <t xml:space="preserve">Imagineer+ subscribers and tabletop gamers drive higher cadence</t>
  </si>
  <si>
    <t xml:space="preserve">Avg order value (AOV)</t>
  </si>
  <si>
    <t xml:space="preserve">Mix shift toward resin / multi-color / larger sizes lifts AOV</t>
  </si>
  <si>
    <t xml:space="preserve">Blended CAC</t>
  </si>
  <si>
    <t xml:space="preserve">Heavy organic Y1; paid scaling Y2-3; flywheel kicks in Y4-5</t>
  </si>
  <si>
    <t xml:space="preserve">Print failure rate</t>
  </si>
  <si>
    <t xml:space="preserve">Improves with CV monitoring and per-printer ML calibration</t>
  </si>
  <si>
    <t xml:space="preserve">E. Operating Expenses by Year ($K)</t>
  </si>
  <si>
    <t xml:space="preserve">Note</t>
  </si>
  <si>
    <t xml:space="preserve">Engineering &amp; AI</t>
  </si>
  <si>
    <t xml:space="preserve">Headcount: 4 → 8 → 14 → 22 → 32 incl. ML researchers</t>
  </si>
  <si>
    <t xml:space="preserve">Operations &amp; QA</t>
  </si>
  <si>
    <t xml:space="preserve">Print farm techs, supply chain, QA</t>
  </si>
  <si>
    <t xml:space="preserve">G&amp;A (CEO, ops, legal)</t>
  </si>
  <si>
    <t xml:space="preserve">Includes facility, legal, finance, exec</t>
  </si>
  <si>
    <t xml:space="preserve">Customer support</t>
  </si>
  <si>
    <t xml:space="preserve">CSAT, returns handling, community</t>
  </si>
  <si>
    <t xml:space="preserve">Other / contingency</t>
  </si>
  <si>
    <t xml:space="preserve">Travel, software, training, reserve</t>
  </si>
  <si>
    <t xml:space="preserve">PRICING MODEL</t>
  </si>
  <si>
    <t xml:space="preserve">What customers pay</t>
  </si>
  <si>
    <t xml:space="preserve">Object size × material → customer price. Built up from material, labor, equipment, AI, shipping and a 2.5× markup.</t>
  </si>
  <si>
    <t xml:space="preserve">Customer Price Grid</t>
  </si>
  <si>
    <t xml:space="preserve">Object size</t>
  </si>
  <si>
    <t xml:space="preserve">PLA</t>
  </si>
  <si>
    <t xml:space="preserve">Small (8 cm³)</t>
  </si>
  <si>
    <t xml:space="preserve">Medium (35 cm³)</t>
  </si>
  <si>
    <t xml:space="preserve">Large (120 cm³)</t>
  </si>
  <si>
    <t xml:space="preserve">XL (280 cm³)</t>
  </si>
  <si>
    <t xml:space="preserve">Prices recompute live from the Assumptions tab. The model rounds to the nearest dollar — production deployment should also apply '...9' psychological pricing (e.g. $19, $29, $49) on top of these computed values.</t>
  </si>
  <si>
    <t xml:space="preserve">Cost Build-Up — Medium Object, by Material</t>
  </si>
  <si>
    <t xml:space="preserve">Cost component</t>
  </si>
  <si>
    <t xml:space="preserve">Material</t>
  </si>
  <si>
    <t xml:space="preserve">Equipment amortization</t>
  </si>
  <si>
    <t xml:space="preserve">Labor</t>
  </si>
  <si>
    <t xml:space="preserve">AI generation</t>
  </si>
  <si>
    <t xml:space="preserve">Shipping</t>
  </si>
  <si>
    <t xml:space="preserve">Direct cost subtotal</t>
  </si>
  <si>
    <t xml:space="preserve">× Failure adjustment</t>
  </si>
  <si>
    <t xml:space="preserve">Failure-adjusted direct cost</t>
  </si>
  <si>
    <t xml:space="preserve">× Markup (2.5×)</t>
  </si>
  <si>
    <t xml:space="preserve">+ Setup fee</t>
  </si>
  <si>
    <t xml:space="preserve">Customer Price (medium)</t>
  </si>
  <si>
    <t xml:space="preserve">Subscription: Imagineer+ ($14/month)</t>
  </si>
  <si>
    <t xml:space="preserve">Benefit</t>
  </si>
  <si>
    <t xml:space="preserve">Free shipping</t>
  </si>
  <si>
    <t xml:space="preserve">≈$5.80/order saved</t>
  </si>
  <si>
    <t xml:space="preserve">Customer breakeven at 2.5 orders/year</t>
  </si>
  <si>
    <t xml:space="preserve">Priority queue</t>
  </si>
  <si>
    <t xml:space="preserve">2-3 day faster</t>
  </si>
  <si>
    <t xml:space="preserve">Subscriber jobs front-of-queue</t>
  </si>
  <si>
    <t xml:space="preserve">Monthly $5 credit</t>
  </si>
  <si>
    <t xml:space="preserve">$60/year value</t>
  </si>
  <si>
    <t xml:space="preserve">Stackable; expires unused after 90 days</t>
  </si>
  <si>
    <t xml:space="preserve">10% off all orders</t>
  </si>
  <si>
    <t xml:space="preserve">Variable</t>
  </si>
  <si>
    <t xml:space="preserve">Effective net discount on full price</t>
  </si>
  <si>
    <t xml:space="preserve">Saved-design library</t>
  </si>
  <si>
    <t xml:space="preserve">Unlimited</t>
  </si>
  <si>
    <t xml:space="preserve">Re-print with 1 click; share with friends</t>
  </si>
  <si>
    <t xml:space="preserve">UNIT ECONOMICS</t>
  </si>
  <si>
    <t xml:space="preserve">Per-order P&amp;L</t>
  </si>
  <si>
    <t xml:space="preserve">How an average $58 order breaks down across cost categories.</t>
  </si>
  <si>
    <t xml:space="preserve">Line item</t>
  </si>
  <si>
    <t xml:space="preserve">Amount</t>
  </si>
  <si>
    <t xml:space="preserve">% of revenue</t>
  </si>
  <si>
    <t xml:space="preserve">Source / note</t>
  </si>
  <si>
    <t xml:space="preserve">Average order revenue</t>
  </si>
  <si>
    <t xml:space="preserve">AOV (Y1) from Assumptions</t>
  </si>
  <si>
    <t xml:space="preserve">Materials cost</t>
  </si>
  <si>
    <t xml:space="preserve">20% of revenue — blended materials @ avg mix</t>
  </si>
  <si>
    <t xml:space="preserve">Direct labor</t>
  </si>
  <si>
    <t xml:space="preserve">15% — packing, QA, support removal</t>
  </si>
  <si>
    <t xml:space="preserve">7% — printer, cure stations, post-processing</t>
  </si>
  <si>
    <t xml:space="preserve">10% — small-parcel rate-shopped</t>
  </si>
  <si>
    <t xml:space="preserve">COGS subtotal</t>
  </si>
  <si>
    <t xml:space="preserve">Materials + labor + equip + shipping</t>
  </si>
  <si>
    <t xml:space="preserve">Gross profit</t>
  </si>
  <si>
    <t xml:space="preserve">Revenue − COGS</t>
  </si>
  <si>
    <t xml:space="preserve">Customer acquisition cost</t>
  </si>
  <si>
    <t xml:space="preserve">Blended CAC (Y1)</t>
  </si>
  <si>
    <t xml:space="preserve">Contribution margin</t>
  </si>
  <si>
    <t xml:space="preserve">Gross profit − CAC</t>
  </si>
  <si>
    <t xml:space="preserve">Payback period</t>
  </si>
  <si>
    <t xml:space="preserve">—</t>
  </si>
  <si>
    <t xml:space="preserve">Inverse of contribution-margin ratio (orders to recoup)</t>
  </si>
  <si>
    <t xml:space="preserve">Year-1 contribution margin of ~30% of revenue scales to ~38% by Year 3 as: (a) repeat purchase rate climbs from 22% to 38%, lowering blended CAC; (b) print failure rate falls from 8% to 4%, freeing margin; and (c) AOV grows from $58 to $65 with mix shift toward resin/multi-color. LTV:CAC = ~2.4× in Y1 → ~5× by Y3.</t>
  </si>
  <si>
    <t xml:space="preserve">Year-by-Year Unit Economics</t>
  </si>
  <si>
    <t xml:space="preserve">Metric</t>
  </si>
  <si>
    <t xml:space="preserve">AOV</t>
  </si>
  <si>
    <t xml:space="preserve">CAC</t>
  </si>
  <si>
    <t xml:space="preserve">Failure rate</t>
  </si>
  <si>
    <t xml:space="preserve">Gross margin %</t>
  </si>
  <si>
    <t xml:space="preserve">LTV (per customer)</t>
  </si>
  <si>
    <t xml:space="preserve">LTV:CAC</t>
  </si>
  <si>
    <t xml:space="preserve">ACQUISITION MIX</t>
  </si>
  <si>
    <t xml:space="preserve">Channel mix and CAC</t>
  </si>
  <si>
    <t xml:space="preserve">How we plan to acquire customers, what each channel costs, and the resulting blended CAC.</t>
  </si>
  <si>
    <t xml:space="preserve">Channel</t>
  </si>
  <si>
    <t xml:space="preserve">Y1 mix %</t>
  </si>
  <si>
    <t xml:space="preserve">Y3 mix %</t>
  </si>
  <si>
    <t xml:space="preserve">Channel CAC</t>
  </si>
  <si>
    <t xml:space="preserve">Y1 weighted</t>
  </si>
  <si>
    <t xml:space="preserve">Note / source</t>
  </si>
  <si>
    <t xml:space="preserve">Organic social</t>
  </si>
  <si>
    <t xml:space="preserve">Short-form video + viral output. Phoenix Strategy Group benchmarks $5–$15.</t>
  </si>
  <si>
    <t xml:space="preserve">Influencer seeding</t>
  </si>
  <si>
    <t xml:space="preserve">Tabletop, maker, gifting creators. Mid-tier creators at $500–$2,000/post.</t>
  </si>
  <si>
    <t xml:space="preserve">SEO content</t>
  </si>
  <si>
    <t xml:space="preserve">Long-tail customization queries. CAC drops as content compounds.</t>
  </si>
  <si>
    <t xml:space="preserve">Paid social</t>
  </si>
  <si>
    <t xml:space="preserve">Meta+TikTok. Ecom benchmark $25–$50; Shopify 2025 avg $45–$90.</t>
  </si>
  <si>
    <t xml:space="preserve">Partnerships</t>
  </si>
  <si>
    <t xml:space="preserve">Game publishers, gift brands, education. Lower CAC but slow ramp.</t>
  </si>
  <si>
    <t xml:space="preserve">Referral program</t>
  </si>
  <si>
    <t xml:space="preserve">Credit-back invite-a-friend; viral coefficient 0.15–0.25.</t>
  </si>
  <si>
    <t xml:space="preserve">Marketplaces</t>
  </si>
  <si>
    <t xml:space="preserve">Etsy/MyMiniFactory cross-listing. Take rate captured here.</t>
  </si>
  <si>
    <t xml:space="preserve">Total / Blended</t>
  </si>
  <si>
    <t xml:space="preserve">Sums must equal 100% mix; weighted = blended CAC</t>
  </si>
  <si>
    <t xml:space="preserve">Marketing Budget by Year</t>
  </si>
  <si>
    <t xml:space="preserve">Item</t>
  </si>
  <si>
    <t xml:space="preserve">Marketing spend ($)</t>
  </si>
  <si>
    <t xml:space="preserve">5-YEAR REVENUE FORECAST</t>
  </si>
  <si>
    <t xml:space="preserve">Revenue, costs, and EBITDA</t>
  </si>
  <si>
    <t xml:space="preserve">Driven entirely by Assumptions — no hardcoded results. Adjust inputs to re-run scenarios.</t>
  </si>
  <si>
    <t xml:space="preserve">Line</t>
  </si>
  <si>
    <t xml:space="preserve">5Y total</t>
  </si>
  <si>
    <t xml:space="preserve">VOLUME</t>
  </si>
  <si>
    <t xml:space="preserve">Repeat orders (from prior + current cohort)</t>
  </si>
  <si>
    <t xml:space="preserve">Total orders</t>
  </si>
  <si>
    <t xml:space="preserve">PRICING &amp; REVENUE</t>
  </si>
  <si>
    <t xml:space="preserve">Average order value (AOV)</t>
  </si>
  <si>
    <t xml:space="preserve">Revenue</t>
  </si>
  <si>
    <t xml:space="preserve">COST OF GOODS SOLD</t>
  </si>
  <si>
    <t xml:space="preserve">    Materials</t>
  </si>
  <si>
    <t xml:space="preserve">    Direct labor</t>
  </si>
  <si>
    <t xml:space="preserve">    Equipment amortization</t>
  </si>
  <si>
    <t xml:space="preserve">    Shipping</t>
  </si>
  <si>
    <t xml:space="preserve">    Failure waste</t>
  </si>
  <si>
    <t xml:space="preserve">Total COGS</t>
  </si>
  <si>
    <t xml:space="preserve">    Gross margin %</t>
  </si>
  <si>
    <t xml:space="preserve">OPERATING EXPENSES</t>
  </si>
  <si>
    <t xml:space="preserve">    Marketing &amp; customer acquisition</t>
  </si>
  <si>
    <t xml:space="preserve">    Engineering &amp; AI</t>
  </si>
  <si>
    <t xml:space="preserve">    Operations &amp; QA</t>
  </si>
  <si>
    <t xml:space="preserve">    G&amp;A (CEO, ops, legal)</t>
  </si>
  <si>
    <t xml:space="preserve">    Customer support</t>
  </si>
  <si>
    <t xml:space="preserve">    Other / contingency</t>
  </si>
  <si>
    <t xml:space="preserve">Total operating expenses</t>
  </si>
  <si>
    <t xml:space="preserve">BOTTOM LINE</t>
  </si>
  <si>
    <t xml:space="preserve">EBITDA</t>
  </si>
  <si>
    <t xml:space="preserve">    EBITDA margin %</t>
  </si>
  <si>
    <t xml:space="preserve">    Cumulative EBITDA</t>
  </si>
  <si>
    <t xml:space="preserve">VISUALIZATIONS</t>
  </si>
  <si>
    <t xml:space="preserve">Chart data is computed from formulas — refresh in Excel to update.</t>
  </si>
  <si>
    <t xml:space="preserve">Revenue trajectory &amp; EBITDA path</t>
  </si>
  <si>
    <t xml:space="preserve">Revenue ($M)</t>
  </si>
  <si>
    <t xml:space="preserve">EBITDA ($M)</t>
  </si>
  <si>
    <t xml:space="preserve">Customer acquisition mix</t>
  </si>
  <si>
    <t xml:space="preserve">Gross margin &amp; EBITDA margin trajectory</t>
  </si>
  <si>
    <t xml:space="preserve">Gross margin</t>
  </si>
  <si>
    <t xml:space="preserve">EBITDA margin</t>
  </si>
  <si>
    <t xml:space="preserve">DATA PROVENANCE</t>
  </si>
  <si>
    <t xml:space="preserve">Sources &amp; Citations</t>
  </si>
  <si>
    <t xml:space="preserve">Every external benchmark used in the model is cited here. Internal modeling assumptions are noted as 'Internal'.</t>
  </si>
  <si>
    <t xml:space="preserve">Topic</t>
  </si>
  <si>
    <t xml:space="preserve">URL</t>
  </si>
  <si>
    <t xml:space="preserve">Last verified</t>
  </si>
  <si>
    <t xml:space="preserve">Global 3D printing market size (2025: $30.55B; 2030: $76–88B; CAGR 20.8–23.5%)</t>
  </si>
  <si>
    <t xml:space="preserve">Grand View Research; PR Newswire</t>
  </si>
  <si>
    <t xml:space="preserve">https://www.grandviewresearch.com/industry-analysis/3d-printing-industry-analysis</t>
  </si>
  <si>
    <t xml:space="preserve">Apr 2026</t>
  </si>
  <si>
    <t xml:space="preserve">Tabletop miniatures market ($1.42B in 2024, 7.1% CAGR to $2.67B by 2033)</t>
  </si>
  <si>
    <t xml:space="preserve">Market Intelo / Growth Market Reports</t>
  </si>
  <si>
    <t xml:space="preserve">https://marketintelo.com/report/tabletop-miniatures-game-market</t>
  </si>
  <si>
    <t xml:space="preserve">Tabletop games market overall ($18.1B in 2024 → $30.8B by 2035, 4.95% CAGR)</t>
  </si>
  <si>
    <t xml:space="preserve">Market Research Future</t>
  </si>
  <si>
    <t xml:space="preserve">https://www.marketresearchfuture.com/reports/table-top-games-market-10297</t>
  </si>
  <si>
    <t xml:space="preserve">E-commerce average CAC ($68–84 blended; $21–87 by category)</t>
  </si>
  <si>
    <t xml:space="preserve">Genesys Growth; Shopify; LoyaltyLion (2025–2026)</t>
  </si>
  <si>
    <t xml:space="preserve">https://genesysgrowth.com/blog/customer-acquisition-cost-benchmarks-for-marketing-leaders</t>
  </si>
  <si>
    <t xml:space="preserve">CAC by channel benchmarks (paid social, SEO, organic)</t>
  </si>
  <si>
    <t xml:space="preserve">Phoenix Strategy Group</t>
  </si>
  <si>
    <t xml:space="preserve">https://www.phoenixstrategy.group/blog/cac-benchmarks-by-channel-2025</t>
  </si>
  <si>
    <t xml:space="preserve">DTC CAC range ($23 pet → $89 supplements → $400+ luxury)</t>
  </si>
  <si>
    <t xml:space="preserve">Shopify; Retainful</t>
  </si>
  <si>
    <t xml:space="preserve">https://www.shopify.com/blog/customer-acquisition-cost-by-industry</t>
  </si>
  <si>
    <t xml:space="preserve">LTV:CAC benchmark of 3:1 minimum, 3–4× target for DTC</t>
  </si>
  <si>
    <t xml:space="preserve">Phoenix Strategy Group; Razorpay</t>
  </si>
  <si>
    <t xml:space="preserve">https://razorpay.com/learn/customer-acquisition-cost/</t>
  </si>
  <si>
    <t xml:space="preserve">E-commerce repeat purchase rate average (28.2%; range 20–40%)</t>
  </si>
  <si>
    <t xml:space="preserve">Mobiloud; Opensend</t>
  </si>
  <si>
    <t xml:space="preserve">https://www.mobiloud.com/blog/repeat-customer-rate-ecommerce</t>
  </si>
  <si>
    <t xml:space="preserve">Best-in-class repeat purchase rate with subscription (55%+)</t>
  </si>
  <si>
    <t xml:space="preserve">Mobiloud (citing Klaviyo/Chewy data)</t>
  </si>
  <si>
    <t xml:space="preserve">https://www.opensend.com/post/repeat-purchase-rate-ecommerce</t>
  </si>
  <si>
    <t xml:space="preserve">5% retention increase = 25–95% profit lift</t>
  </si>
  <si>
    <t xml:space="preserve">Bain &amp; Company; Harvard Business School</t>
  </si>
  <si>
    <t xml:space="preserve">https://www.envive.ai/post/customer-retention-in-ecommerce-statistics</t>
  </si>
  <si>
    <t xml:space="preserve">Customers willing to pay 30%+ for personalized experiences</t>
  </si>
  <si>
    <t xml:space="preserve">Deloitte 2024 Personalization Research</t>
  </si>
  <si>
    <t xml:space="preserve">https://www.deloittedigital.com/us/en/insights/perspective/personalization-customer-personas.html</t>
  </si>
  <si>
    <t xml:space="preserve">Personalization drives 5–15% revenue lift, 10–30% marketing efficiency</t>
  </si>
  <si>
    <t xml:space="preserve">McKinsey &amp; Company</t>
  </si>
  <si>
    <t xml:space="preserve">https://www.mckinsey.com/capabilities/growth-marketing-and-sales/our-insights/the-future-of-personalization-and-how-to-get-ready-for-it</t>
  </si>
  <si>
    <t xml:space="preserve">Print failure rates: 13–25% on consumer kits, 1–2% on premium tuned (Form 4 = 98.7%)</t>
  </si>
  <si>
    <t xml:space="preserve">Formlabs / VoxelMatters independent study</t>
  </si>
  <si>
    <t xml:space="preserve">https://www.voxelmatters.com/independent-test-shows-99-print-success-rate-for-form-4/</t>
  </si>
  <si>
    <t xml:space="preserve">Desktop FDM failure rate study (41% in open studio, 26% human-error)</t>
  </si>
  <si>
    <t xml:space="preserve">ScienceDirect — 'Causes of Desktop FDM Fabrication Failures'</t>
  </si>
  <si>
    <t xml:space="preserve">https://www.sciencedirect.com/science/article/pii/S2212827118312861</t>
  </si>
  <si>
    <t xml:space="preserve">Prusa MMU2S commercial print success rate &gt;93%</t>
  </si>
  <si>
    <t xml:space="preserve">Prusa community testing</t>
  </si>
  <si>
    <t xml:space="preserve">https://forum.prusa3d.com/forum/original-prusa-i3-mmu2s-mmu2-general-discussion-announcements-and-releases/thank-you-prusa-for-sharing-failure-statistics/</t>
  </si>
  <si>
    <t xml:space="preserve">Shapeways legacy pricing ($7.50/part + $0.40/cm³ for PLA)</t>
  </si>
  <si>
    <t xml:space="preserve">Shapeways pricing page; Fabbaloo coverage</t>
  </si>
  <si>
    <t xml:space="preserve">https://www.shapeways.com/support/pricing</t>
  </si>
  <si>
    <t xml:space="preserve">Resin pricing $40–$200/kg by formulation</t>
  </si>
  <si>
    <t xml:space="preserve">3DSPRO industry blog</t>
  </si>
  <si>
    <t xml:space="preserve">https://3dspro.com/resources/blog/how-much-does-3d-printing-cost</t>
  </si>
  <si>
    <t xml:space="preserve">Material cost build-up: filament $/kg → $/cm³ via density</t>
  </si>
  <si>
    <t xml:space="preserve">Internal calculation</t>
  </si>
  <si>
    <t xml:space="preserve">Densities: PLA=1.24, PETG=1.27, resin (cured) ≈1.18 g/cm³</t>
  </si>
  <si>
    <t xml:space="preserve">Equipment amortization $0.022/cm³</t>
  </si>
  <si>
    <t xml:space="preserve">$1500 printer × 18-month amortization × 8 cm³/hr × 35 hr/wk</t>
  </si>
  <si>
    <t xml:space="preserve">Markup multiplier 2.5×</t>
  </si>
  <si>
    <t xml:space="preserve">Internal — consumer e-comm benchmark</t>
  </si>
  <si>
    <t xml:space="preserve">Mid-range between commodity 2× and premium 3.5–4×</t>
  </si>
  <si>
    <t xml:space="preserve">Volume per object size (8/35/120/280 cm³)</t>
  </si>
  <si>
    <t xml:space="preserve">Internal — Thingiverse upload sample analysis</t>
  </si>
  <si>
    <t xml:space="preserve">Stratified sample of public 3D model sizes</t>
  </si>
  <si>
    <t xml:space="preserve">All third-party benchmarks were verified at the date shown. Industry reports are commonly paywalled — figures cited above appear in publicly available summaries from the publisher. For authoritative figures used in funding documents, purchase the underlying reports.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</si>
</sst>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0.000"/>
    <numFmt numFmtId="166" formatCode="0"/>
    <numFmt numFmtId="167" formatCode="\$0.00"/>
    <numFmt numFmtId="168" formatCode="0.00"/>
    <numFmt numFmtId="169" formatCode="0.0%"/>
    <numFmt numFmtId="170" formatCode="0.0"/>
    <numFmt numFmtId="171" formatCode="\$#,##0"/>
    <numFmt numFmtId="172" formatCode="\$#,##0.00"/>
    <numFmt numFmtId="173" formatCode="0.0\x"/>
    <numFmt numFmtId="174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E8A838"/>
      <name val="Calibri"/>
      <family val="0"/>
      <charset val="1"/>
    </font>
    <font>
      <b val="true"/>
      <sz val="22"/>
      <color rgb="FF1B3A5C"/>
      <name val="Georgia"/>
      <family val="0"/>
      <charset val="1"/>
    </font>
    <font>
      <i val="true"/>
      <sz val="12"/>
      <color rgb="FF888888"/>
      <name val="Calibri"/>
      <family val="0"/>
      <charset val="1"/>
    </font>
    <font>
      <b val="true"/>
      <sz val="14"/>
      <color rgb="FF1B3A5C"/>
      <name val="Georgia"/>
      <family val="0"/>
      <charset val="1"/>
    </font>
    <font>
      <b val="true"/>
      <sz val="11"/>
      <color rgb="FF1B3A5C"/>
      <name val="Calibri"/>
      <family val="0"/>
      <charset val="1"/>
    </font>
    <font>
      <sz val="11"/>
      <color rgb="FF333333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66CC"/>
      <name val="Calibri"/>
      <family val="0"/>
      <charset val="1"/>
    </font>
    <font>
      <sz val="10"/>
      <color rgb="FF888888"/>
      <name val="Calibri"/>
      <family val="0"/>
      <charset val="1"/>
    </font>
    <font>
      <i val="true"/>
      <sz val="10"/>
      <color rgb="FF2C5F8A"/>
      <name val="Calibri"/>
      <family val="0"/>
      <charset val="1"/>
    </font>
    <font>
      <sz val="11"/>
      <color rgb="FFB22222"/>
      <name val="Calibri"/>
      <family val="0"/>
      <charset val="1"/>
    </font>
    <font>
      <sz val="11"/>
      <color rgb="FF1B7A3F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10"/>
      <color rgb="FF0066CC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A838"/>
        <bgColor rgb="FFDC853E"/>
      </patternFill>
    </fill>
    <fill>
      <patternFill patternType="solid">
        <fgColor rgb="FF1B3A5C"/>
        <bgColor rgb="FF333333"/>
      </patternFill>
    </fill>
    <fill>
      <patternFill patternType="solid">
        <fgColor rgb="FF2C5F8A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EEF2F7"/>
        <bgColor rgb="FFF5F7FA"/>
      </patternFill>
    </fill>
    <fill>
      <patternFill patternType="solid">
        <fgColor rgb="FFF5F7FA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E8A838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F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9F9F9"/>
      <rgbColor rgb="FFEEF2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E8A838"/>
      <rgbColor rgb="FFFF6600"/>
      <rgbColor rgb="FF725990"/>
      <rgbColor rgb="FF888888"/>
      <rgbColor rgb="FF1B3A5C"/>
      <rgbColor rgb="FF4299B0"/>
      <rgbColor rgb="FF003300"/>
      <rgbColor rgb="FF333300"/>
      <rgbColor rgb="FFB22222"/>
      <rgbColor rgb="FF993366"/>
      <rgbColor rgb="FF2C5F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&amp; EBITDA — 5-Year Forecast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Charts!B10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1b3a5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Charts!$C$9:$G$9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Charts!$C$10:$G$10</c:f>
              <c:numCache>
                <c:formatCode>0.00</c:formatCode>
                <c:ptCount val="5"/>
                <c:pt idx="0">
                  <c:v>0.940992</c:v>
                </c:pt>
                <c:pt idx="1">
                  <c:v>3.50424</c:v>
                </c:pt>
                <c:pt idx="2">
                  <c:v>10.7406</c:v>
                </c:pt>
                <c:pt idx="3">
                  <c:v>24.57792</c:v>
                </c:pt>
                <c:pt idx="4">
                  <c:v>48.96</c:v>
                </c:pt>
              </c:numCache>
            </c:numRef>
          </c:val>
        </c:ser>
        <c:ser>
          <c:idx val="1"/>
          <c:order val="1"/>
          <c:tx>
            <c:strRef>
              <c:f>Charts!B11</c:f>
              <c:strCache>
                <c:ptCount val="1"/>
                <c:pt idx="0">
                  <c:v>EBITDA ($M)</c:v>
                </c:pt>
              </c:strCache>
            </c:strRef>
          </c:tx>
          <c:spPr>
            <a:solidFill>
              <a:srgbClr val="e8a83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Charts!$C$9:$G$9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Charts!$C$11:$G$11</c:f>
              <c:numCache>
                <c:formatCode>0.00</c:formatCode>
                <c:ptCount val="5"/>
                <c:pt idx="0">
                  <c:v>-1.35196352</c:v>
                </c:pt>
                <c:pt idx="1">
                  <c:v>-1.3950072</c:v>
                </c:pt>
                <c:pt idx="2">
                  <c:v>-0.252294</c:v>
                </c:pt>
                <c:pt idx="3">
                  <c:v>3.1020768</c:v>
                </c:pt>
                <c:pt idx="4">
                  <c:v>11.1776</c:v>
                </c:pt>
              </c:numCache>
            </c:numRef>
          </c:val>
        </c:ser>
        <c:gapWidth val="150"/>
        <c:overlap val="0"/>
        <c:axId val="99518107"/>
        <c:axId val="4396619"/>
      </c:barChart>
      <c:catAx>
        <c:axId val="995181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6619"/>
        <c:crosses val="autoZero"/>
        <c:auto val="1"/>
        <c:lblAlgn val="ctr"/>
        <c:lblOffset val="100"/>
        <c:noMultiLvlLbl val="0"/>
      </c:catAx>
      <c:valAx>
        <c:axId val="4396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USD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181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Acquisition Mix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Charts!C37</c:f>
              <c:strCache>
                <c:ptCount val="1"/>
                <c:pt idx="0">
                  <c:v>Y1 mix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Charts!$B$38:$B$44</c:f>
              <c:strCache>
                <c:ptCount val="7"/>
                <c:pt idx="0">
                  <c:v>Organic social</c:v>
                </c:pt>
                <c:pt idx="1">
                  <c:v>Influencer seeding</c:v>
                </c:pt>
                <c:pt idx="2">
                  <c:v>SEO content</c:v>
                </c:pt>
                <c:pt idx="3">
                  <c:v>Paid social</c:v>
                </c:pt>
                <c:pt idx="4">
                  <c:v>Partnerships</c:v>
                </c:pt>
                <c:pt idx="5">
                  <c:v>Referral program</c:v>
                </c:pt>
                <c:pt idx="6">
                  <c:v>Marketplaces</c:v>
                </c:pt>
              </c:strCache>
            </c:strRef>
          </c:cat>
          <c:val>
            <c:numRef>
              <c:f>Charts!$C$38:$C$44</c:f>
              <c:numCache>
                <c:formatCode>0.0%</c:formatCode>
                <c:ptCount val="7"/>
                <c:pt idx="0">
                  <c:v>0.2</c:v>
                </c:pt>
                <c:pt idx="1">
                  <c:v>0.1</c:v>
                </c:pt>
                <c:pt idx="2">
                  <c:v>0.08</c:v>
                </c:pt>
                <c:pt idx="3">
                  <c:v>0.4</c:v>
                </c:pt>
                <c:pt idx="4">
                  <c:v>0.07</c:v>
                </c:pt>
                <c:pt idx="5">
                  <c:v>0.1</c:v>
                </c:pt>
                <c:pt idx="6">
                  <c:v>0.05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Margin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Charts!B51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1b3a5c"/>
            </a:solidFill>
            <a:ln w="12600">
              <a:solidFill>
                <a:srgbClr val="1b3a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Charts!$C$50:$G$50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Charts!$C$51:$G$51</c:f>
              <c:numCache>
                <c:formatCode>0.0%</c:formatCode>
                <c:ptCount val="5"/>
                <c:pt idx="0">
                  <c:v>0.44</c:v>
                </c:pt>
                <c:pt idx="1">
                  <c:v>0.47</c:v>
                </c:pt>
                <c:pt idx="2">
                  <c:v>0.51</c:v>
                </c:pt>
                <c:pt idx="3">
                  <c:v>0.54</c:v>
                </c:pt>
                <c:pt idx="4">
                  <c:v>0.56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Charts!B52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e8a838"/>
            </a:solidFill>
            <a:ln w="12600">
              <a:solidFill>
                <a:srgbClr val="e8a8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Charts!$C$50:$G$50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Charts!$C$52:$G$52</c:f>
              <c:numCache>
                <c:formatCode>0.0%</c:formatCode>
                <c:ptCount val="5"/>
                <c:pt idx="0">
                  <c:v>-1.43674284159695</c:v>
                </c:pt>
                <c:pt idx="1">
                  <c:v>-0.398091226628313</c:v>
                </c:pt>
                <c:pt idx="2">
                  <c:v>-0.0234897491760237</c:v>
                </c:pt>
                <c:pt idx="3">
                  <c:v>0.126213967658777</c:v>
                </c:pt>
                <c:pt idx="4">
                  <c:v>0.228300653594771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440381"/>
        <c:axId val="22084272"/>
      </c:lineChart>
      <c:catAx>
        <c:axId val="76440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84272"/>
        <c:crosses val="autoZero"/>
        <c:auto val="1"/>
        <c:lblAlgn val="ctr"/>
        <c:lblOffset val="100"/>
        <c:noMultiLvlLbl val="0"/>
      </c:catAx>
      <c:valAx>
        <c:axId val="22084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4403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109080</xdr:rowOff>
    </xdr:from>
    <xdr:to>
      <xdr:col>10</xdr:col>
      <xdr:colOff>23400</xdr:colOff>
      <xdr:row>30</xdr:row>
      <xdr:rowOff>89280</xdr:rowOff>
    </xdr:to>
    <xdr:graphicFrame>
      <xdr:nvGraphicFramePr>
        <xdr:cNvPr id="1" name="Chart 1"/>
        <xdr:cNvGraphicFramePr/>
      </xdr:nvGraphicFramePr>
      <xdr:xfrm>
        <a:off x="141120" y="23335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34</xdr:row>
      <xdr:rowOff>109080</xdr:rowOff>
    </xdr:from>
    <xdr:to>
      <xdr:col>12</xdr:col>
      <xdr:colOff>8640</xdr:colOff>
      <xdr:row>52</xdr:row>
      <xdr:rowOff>18720</xdr:rowOff>
    </xdr:to>
    <xdr:graphicFrame>
      <xdr:nvGraphicFramePr>
        <xdr:cNvPr id="2" name="Chart 2"/>
        <xdr:cNvGraphicFramePr/>
      </xdr:nvGraphicFramePr>
      <xdr:xfrm>
        <a:off x="4229280" y="6715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51</xdr:row>
      <xdr:rowOff>38520</xdr:rowOff>
    </xdr:from>
    <xdr:to>
      <xdr:col>10</xdr:col>
      <xdr:colOff>23400</xdr:colOff>
      <xdr:row>70</xdr:row>
      <xdr:rowOff>18720</xdr:rowOff>
    </xdr:to>
    <xdr:graphicFrame>
      <xdr:nvGraphicFramePr>
        <xdr:cNvPr id="3" name="Chart 3"/>
        <xdr:cNvGraphicFramePr/>
      </xdr:nvGraphicFramePr>
      <xdr:xfrm>
        <a:off x="141120" y="101440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grandviewresearch.com/industry-analysis/3d-printing-industry-analysis" TargetMode="External"/><Relationship Id="rId2" Type="http://schemas.openxmlformats.org/officeDocument/2006/relationships/hyperlink" Target="https://marketintelo.com/report/tabletop-miniatures-game-market" TargetMode="External"/><Relationship Id="rId3" Type="http://schemas.openxmlformats.org/officeDocument/2006/relationships/hyperlink" Target="https://www.marketresearchfuture.com/reports/table-top-games-market-10297" TargetMode="External"/><Relationship Id="rId4" Type="http://schemas.openxmlformats.org/officeDocument/2006/relationships/hyperlink" Target="https://genesysgrowth.com/blog/customer-acquisition-cost-benchmarks-for-marketing-leaders" TargetMode="External"/><Relationship Id="rId5" Type="http://schemas.openxmlformats.org/officeDocument/2006/relationships/hyperlink" Target="https://www.phoenixstrategy.group/blog/cac-benchmarks-by-channel-2025" TargetMode="External"/><Relationship Id="rId6" Type="http://schemas.openxmlformats.org/officeDocument/2006/relationships/hyperlink" Target="https://www.shopify.com/blog/customer-acquisition-cost-by-industry" TargetMode="External"/><Relationship Id="rId7" Type="http://schemas.openxmlformats.org/officeDocument/2006/relationships/hyperlink" Target="https://razorpay.com/learn/customer-acquisition-cost/" TargetMode="External"/><Relationship Id="rId8" Type="http://schemas.openxmlformats.org/officeDocument/2006/relationships/hyperlink" Target="https://www.mobiloud.com/blog/repeat-customer-rate-ecommerce" TargetMode="External"/><Relationship Id="rId9" Type="http://schemas.openxmlformats.org/officeDocument/2006/relationships/hyperlink" Target="https://www.opensend.com/post/repeat-purchase-rate-ecommerce" TargetMode="External"/><Relationship Id="rId10" Type="http://schemas.openxmlformats.org/officeDocument/2006/relationships/hyperlink" Target="https://www.envive.ai/post/customer-retention-in-ecommerce-statistics" TargetMode="External"/><Relationship Id="rId11" Type="http://schemas.openxmlformats.org/officeDocument/2006/relationships/hyperlink" Target="https://www.deloittedigital.com/us/en/insights/perspective/personalization-customer-personas.html" TargetMode="External"/><Relationship Id="rId12" Type="http://schemas.openxmlformats.org/officeDocument/2006/relationships/hyperlink" Target="https://www.mckinsey.com/capabilities/growth-marketing-and-sales/our-insights/the-future-of-personalization-and-how-to-get-ready-for-it" TargetMode="External"/><Relationship Id="rId13" Type="http://schemas.openxmlformats.org/officeDocument/2006/relationships/hyperlink" Target="https://www.voxelmatters.com/independent-test-shows-99-print-success-rate-for-form-4/" TargetMode="External"/><Relationship Id="rId14" Type="http://schemas.openxmlformats.org/officeDocument/2006/relationships/hyperlink" Target="https://www.sciencedirect.com/science/article/pii/S2212827118312861" TargetMode="External"/><Relationship Id="rId15" Type="http://schemas.openxmlformats.org/officeDocument/2006/relationships/hyperlink" Target="https://forum.prusa3d.com/forum/original-prusa-i3-mmu2s-mmu2-general-discussion-announcements-and-releases/thank-you-prusa-for-sharing-failure-statistics/" TargetMode="External"/><Relationship Id="rId16" Type="http://schemas.openxmlformats.org/officeDocument/2006/relationships/hyperlink" Target="https://www.shapeways.com/support/pricing" TargetMode="External"/><Relationship Id="rId17" Type="http://schemas.openxmlformats.org/officeDocument/2006/relationships/hyperlink" Target="https://3dspro.com/resources/blog/how-much-does-3d-printing-co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0"/>
  </cols>
  <sheetData>
    <row r="2" customFormat="false" ht="19.4" hidden="false" customHeight="false" outlineLevel="0" collapsed="false">
      <c r="B2" s="1" t="s">
        <v>0</v>
      </c>
    </row>
    <row r="3" customFormat="false" ht="30.55" hidden="false" customHeight="true" outlineLevel="0" collapsed="false">
      <c r="B3" s="2" t="s">
        <v>1</v>
      </c>
      <c r="C3" s="2"/>
      <c r="D3" s="2"/>
    </row>
    <row r="4" customFormat="false" ht="15" hidden="false" customHeight="true" outlineLevel="0" collapsed="false">
      <c r="B4" s="3" t="s">
        <v>2</v>
      </c>
      <c r="C4" s="3"/>
      <c r="D4" s="3"/>
    </row>
    <row r="5" customFormat="false" ht="3.75" hidden="false" customHeight="true" outlineLevel="0" collapsed="false">
      <c r="B5" s="4"/>
      <c r="C5" s="4"/>
      <c r="D5" s="4"/>
    </row>
    <row r="7" customFormat="false" ht="20.85" hidden="false" customHeight="true" outlineLevel="0" collapsed="false">
      <c r="B7" s="5" t="s">
        <v>3</v>
      </c>
      <c r="C7" s="5"/>
    </row>
    <row r="8" customFormat="false" ht="24" hidden="false" customHeight="true" outlineLevel="0" collapsed="false">
      <c r="B8" s="6" t="s">
        <v>4</v>
      </c>
      <c r="C8" s="7" t="s">
        <v>5</v>
      </c>
    </row>
    <row r="9" customFormat="false" ht="24" hidden="false" customHeight="true" outlineLevel="0" collapsed="false">
      <c r="B9" s="6" t="s">
        <v>6</v>
      </c>
      <c r="C9" s="7" t="s">
        <v>7</v>
      </c>
    </row>
    <row r="10" customFormat="false" ht="24" hidden="false" customHeight="true" outlineLevel="0" collapsed="false">
      <c r="B10" s="6" t="s">
        <v>8</v>
      </c>
      <c r="C10" s="7" t="s">
        <v>9</v>
      </c>
    </row>
    <row r="11" customFormat="false" ht="24" hidden="false" customHeight="true" outlineLevel="0" collapsed="false">
      <c r="B11" s="6" t="s">
        <v>10</v>
      </c>
      <c r="C11" s="7" t="s">
        <v>11</v>
      </c>
    </row>
    <row r="12" customFormat="false" ht="24" hidden="false" customHeight="true" outlineLevel="0" collapsed="false">
      <c r="B12" s="6" t="s">
        <v>12</v>
      </c>
      <c r="C12" s="7" t="s">
        <v>13</v>
      </c>
    </row>
    <row r="13" customFormat="false" ht="24" hidden="false" customHeight="true" outlineLevel="0" collapsed="false">
      <c r="B13" s="6" t="s">
        <v>14</v>
      </c>
      <c r="C13" s="7" t="s">
        <v>15</v>
      </c>
    </row>
    <row r="14" customFormat="false" ht="24" hidden="false" customHeight="true" outlineLevel="0" collapsed="false">
      <c r="B14" s="6" t="s">
        <v>16</v>
      </c>
      <c r="C14" s="7" t="s">
        <v>17</v>
      </c>
    </row>
    <row r="17" customFormat="false" ht="20.85" hidden="false" customHeight="true" outlineLevel="0" collapsed="false">
      <c r="B17" s="5" t="s">
        <v>18</v>
      </c>
      <c r="C17" s="5"/>
    </row>
    <row r="18" customFormat="false" ht="19.5" hidden="false" customHeight="true" outlineLevel="0" collapsed="false">
      <c r="B18" s="8" t="s">
        <v>19</v>
      </c>
      <c r="C18" s="9" t="s">
        <v>20</v>
      </c>
    </row>
    <row r="19" customFormat="false" ht="19.5" hidden="false" customHeight="true" outlineLevel="0" collapsed="false">
      <c r="B19" s="8" t="s">
        <v>21</v>
      </c>
      <c r="C19" s="9" t="s">
        <v>22</v>
      </c>
    </row>
    <row r="20" customFormat="false" ht="19.5" hidden="false" customHeight="true" outlineLevel="0" collapsed="false">
      <c r="B20" s="8" t="s">
        <v>23</v>
      </c>
      <c r="C20" s="9" t="s">
        <v>24</v>
      </c>
    </row>
    <row r="21" customFormat="false" ht="19.5" hidden="false" customHeight="true" outlineLevel="0" collapsed="false">
      <c r="B21" s="8" t="s">
        <v>25</v>
      </c>
      <c r="C21" s="9" t="s">
        <v>26</v>
      </c>
    </row>
    <row r="22" customFormat="false" ht="19.5" hidden="false" customHeight="true" outlineLevel="0" collapsed="false">
      <c r="B22" s="8" t="s">
        <v>27</v>
      </c>
      <c r="C22" s="9" t="s">
        <v>28</v>
      </c>
    </row>
    <row r="24" customFormat="false" ht="20.85" hidden="false" customHeight="true" outlineLevel="0" collapsed="false">
      <c r="B24" s="5" t="s">
        <v>29</v>
      </c>
      <c r="C24" s="5"/>
    </row>
    <row r="25" customFormat="false" ht="18" hidden="false" customHeight="true" outlineLevel="0" collapsed="false">
      <c r="B25" s="10" t="s">
        <v>30</v>
      </c>
      <c r="C25" s="10"/>
      <c r="D25" s="10"/>
    </row>
    <row r="26" customFormat="false" ht="18" hidden="false" customHeight="true" outlineLevel="0" collapsed="false">
      <c r="B26" s="10" t="s">
        <v>31</v>
      </c>
      <c r="C26" s="10"/>
      <c r="D26" s="10"/>
    </row>
    <row r="27" customFormat="false" ht="18" hidden="false" customHeight="true" outlineLevel="0" collapsed="false">
      <c r="B27" s="10" t="s">
        <v>32</v>
      </c>
      <c r="C27" s="10"/>
      <c r="D27" s="10"/>
    </row>
    <row r="28" customFormat="false" ht="18" hidden="false" customHeight="true" outlineLevel="0" collapsed="false">
      <c r="B28" s="10" t="s">
        <v>33</v>
      </c>
      <c r="C28" s="10"/>
      <c r="D28" s="10"/>
    </row>
    <row r="31" customFormat="false" ht="15" hidden="false" customHeight="false" outlineLevel="0" collapsed="false">
      <c r="B31" s="11" t="s">
        <v>34</v>
      </c>
    </row>
  </sheetData>
  <mergeCells count="9">
    <mergeCell ref="B3:D3"/>
    <mergeCell ref="B4:D4"/>
    <mergeCell ref="B7:C7"/>
    <mergeCell ref="B17:C17"/>
    <mergeCell ref="B24:C24"/>
    <mergeCell ref="B25:D25"/>
    <mergeCell ref="B26:D26"/>
    <mergeCell ref="B27:D2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B2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7" min="6" style="0" width="11"/>
    <col collapsed="false" customWidth="true" hidden="false" outlineLevel="0" max="8" min="8" style="0" width="60"/>
  </cols>
  <sheetData>
    <row r="2" customFormat="false" ht="15" hidden="false" customHeight="false" outlineLevel="0" collapsed="false">
      <c r="B2" s="1" t="s">
        <v>35</v>
      </c>
    </row>
    <row r="3" customFormat="false" ht="30.55" hidden="false" customHeight="true" outlineLevel="0" collapsed="false">
      <c r="B3" s="2" t="s">
        <v>4</v>
      </c>
      <c r="C3" s="2"/>
      <c r="D3" s="2"/>
      <c r="E3" s="2"/>
    </row>
    <row r="4" customFormat="false" ht="3.75" hidden="false" customHeight="true" outlineLevel="0" collapsed="false">
      <c r="B4" s="4"/>
      <c r="C4" s="4"/>
      <c r="D4" s="4"/>
      <c r="E4" s="4"/>
    </row>
    <row r="6" customFormat="false" ht="21.75" hidden="false" customHeight="true" outlineLevel="0" collapsed="false">
      <c r="B6" s="12" t="s">
        <v>36</v>
      </c>
      <c r="C6" s="12" t="s">
        <v>37</v>
      </c>
      <c r="D6" s="12" t="s">
        <v>38</v>
      </c>
      <c r="E6" s="12" t="s">
        <v>39</v>
      </c>
    </row>
    <row r="7" customFormat="false" ht="15" hidden="false" customHeight="false" outlineLevel="0" collapsed="false">
      <c r="B7" s="13" t="s">
        <v>40</v>
      </c>
      <c r="C7" s="14"/>
      <c r="D7" s="14"/>
      <c r="E7" s="14"/>
    </row>
    <row r="8" customFormat="false" ht="19.4" hidden="false" customHeight="false" outlineLevel="0" collapsed="false">
      <c r="B8" s="15" t="s">
        <v>41</v>
      </c>
      <c r="C8" s="16" t="n">
        <v>0.045</v>
      </c>
      <c r="D8" s="17" t="s">
        <v>42</v>
      </c>
      <c r="E8" s="18" t="s">
        <v>43</v>
      </c>
    </row>
    <row r="9" customFormat="false" ht="15" hidden="false" customHeight="false" outlineLevel="0" collapsed="false">
      <c r="B9" s="19" t="s">
        <v>44</v>
      </c>
      <c r="C9" s="20" t="n">
        <v>0.06</v>
      </c>
      <c r="D9" s="21" t="s">
        <v>42</v>
      </c>
      <c r="E9" s="22" t="s">
        <v>45</v>
      </c>
    </row>
    <row r="10" customFormat="false" ht="15" hidden="false" customHeight="false" outlineLevel="0" collapsed="false">
      <c r="B10" s="15" t="s">
        <v>46</v>
      </c>
      <c r="C10" s="16" t="n">
        <v>0.11</v>
      </c>
      <c r="D10" s="17" t="s">
        <v>42</v>
      </c>
      <c r="E10" s="18" t="s">
        <v>47</v>
      </c>
    </row>
    <row r="11" customFormat="false" ht="15" hidden="false" customHeight="false" outlineLevel="0" collapsed="false">
      <c r="B11" s="19" t="s">
        <v>48</v>
      </c>
      <c r="C11" s="20" t="n">
        <v>0.18</v>
      </c>
      <c r="D11" s="21" t="s">
        <v>42</v>
      </c>
      <c r="E11" s="22" t="s">
        <v>49</v>
      </c>
    </row>
    <row r="12" customFormat="false" ht="15" hidden="false" customHeight="false" outlineLevel="0" collapsed="false">
      <c r="B12" s="15" t="s">
        <v>50</v>
      </c>
      <c r="C12" s="16" t="n">
        <v>0.09</v>
      </c>
      <c r="D12" s="17" t="s">
        <v>42</v>
      </c>
      <c r="E12" s="18" t="s">
        <v>51</v>
      </c>
    </row>
    <row r="14" customFormat="false" ht="15" hidden="false" customHeight="false" outlineLevel="0" collapsed="false">
      <c r="B14" s="13" t="s">
        <v>52</v>
      </c>
      <c r="C14" s="14"/>
      <c r="D14" s="14"/>
      <c r="E14" s="14"/>
    </row>
    <row r="15" customFormat="false" ht="15" hidden="false" customHeight="false" outlineLevel="0" collapsed="false">
      <c r="B15" s="15" t="s">
        <v>53</v>
      </c>
      <c r="C15" s="23" t="n">
        <v>8</v>
      </c>
      <c r="D15" s="17" t="s">
        <v>54</v>
      </c>
      <c r="E15" s="18" t="s">
        <v>55</v>
      </c>
    </row>
    <row r="16" customFormat="false" ht="15" hidden="false" customHeight="false" outlineLevel="0" collapsed="false">
      <c r="B16" s="19" t="s">
        <v>56</v>
      </c>
      <c r="C16" s="24" t="n">
        <v>35</v>
      </c>
      <c r="D16" s="21" t="s">
        <v>54</v>
      </c>
      <c r="E16" s="22" t="s">
        <v>57</v>
      </c>
    </row>
    <row r="17" customFormat="false" ht="15" hidden="false" customHeight="false" outlineLevel="0" collapsed="false">
      <c r="B17" s="15" t="s">
        <v>58</v>
      </c>
      <c r="C17" s="23" t="n">
        <v>120</v>
      </c>
      <c r="D17" s="17" t="s">
        <v>54</v>
      </c>
      <c r="E17" s="18" t="s">
        <v>59</v>
      </c>
    </row>
    <row r="18" customFormat="false" ht="15" hidden="false" customHeight="false" outlineLevel="0" collapsed="false">
      <c r="B18" s="19" t="s">
        <v>60</v>
      </c>
      <c r="C18" s="24" t="n">
        <v>280</v>
      </c>
      <c r="D18" s="21" t="s">
        <v>54</v>
      </c>
      <c r="E18" s="22" t="s">
        <v>61</v>
      </c>
    </row>
    <row r="20" customFormat="false" ht="15" hidden="false" customHeight="false" outlineLevel="0" collapsed="false">
      <c r="B20" s="13" t="s">
        <v>62</v>
      </c>
      <c r="C20" s="14"/>
      <c r="D20" s="14"/>
      <c r="E20" s="14"/>
    </row>
    <row r="21" customFormat="false" ht="15" hidden="false" customHeight="false" outlineLevel="0" collapsed="false">
      <c r="B21" s="15" t="s">
        <v>63</v>
      </c>
      <c r="C21" s="25" t="n">
        <v>22</v>
      </c>
      <c r="D21" s="17" t="s">
        <v>64</v>
      </c>
      <c r="E21" s="18" t="s">
        <v>65</v>
      </c>
    </row>
    <row r="22" customFormat="false" ht="15" hidden="false" customHeight="false" outlineLevel="0" collapsed="false">
      <c r="B22" s="19" t="s">
        <v>66</v>
      </c>
      <c r="C22" s="26" t="n">
        <v>0.2</v>
      </c>
      <c r="D22" s="21" t="s">
        <v>67</v>
      </c>
      <c r="E22" s="22" t="s">
        <v>68</v>
      </c>
    </row>
    <row r="23" customFormat="false" ht="15" hidden="false" customHeight="false" outlineLevel="0" collapsed="false">
      <c r="B23" s="15" t="s">
        <v>69</v>
      </c>
      <c r="C23" s="25" t="n">
        <v>0.022</v>
      </c>
      <c r="D23" s="17" t="s">
        <v>42</v>
      </c>
      <c r="E23" s="18" t="s">
        <v>70</v>
      </c>
    </row>
    <row r="24" customFormat="false" ht="15" hidden="false" customHeight="false" outlineLevel="0" collapsed="false">
      <c r="B24" s="19" t="s">
        <v>71</v>
      </c>
      <c r="C24" s="27" t="n">
        <v>3</v>
      </c>
      <c r="D24" s="21" t="s">
        <v>72</v>
      </c>
      <c r="E24" s="22" t="s">
        <v>73</v>
      </c>
    </row>
    <row r="25" customFormat="false" ht="15" hidden="false" customHeight="false" outlineLevel="0" collapsed="false">
      <c r="B25" s="15" t="s">
        <v>74</v>
      </c>
      <c r="C25" s="28" t="n">
        <v>2.5</v>
      </c>
      <c r="D25" s="17" t="s">
        <v>75</v>
      </c>
      <c r="E25" s="18" t="s">
        <v>76</v>
      </c>
    </row>
    <row r="26" customFormat="false" ht="15" hidden="false" customHeight="false" outlineLevel="0" collapsed="false">
      <c r="B26" s="19" t="s">
        <v>77</v>
      </c>
      <c r="C26" s="27" t="n">
        <v>5.8</v>
      </c>
      <c r="D26" s="21" t="s">
        <v>72</v>
      </c>
      <c r="E26" s="22" t="s">
        <v>78</v>
      </c>
    </row>
    <row r="27" customFormat="false" ht="19.4" hidden="false" customHeight="false" outlineLevel="0" collapsed="false">
      <c r="B27" s="15" t="s">
        <v>79</v>
      </c>
      <c r="C27" s="29" t="n">
        <v>0.08</v>
      </c>
      <c r="D27" s="17" t="s">
        <v>80</v>
      </c>
      <c r="E27" s="18" t="s">
        <v>81</v>
      </c>
    </row>
    <row r="28" customFormat="false" ht="15" hidden="false" customHeight="false" outlineLevel="0" collapsed="false">
      <c r="B28" s="19" t="s">
        <v>82</v>
      </c>
      <c r="C28" s="27" t="n">
        <v>0.4</v>
      </c>
      <c r="D28" s="21" t="s">
        <v>72</v>
      </c>
      <c r="E28" s="22" t="s">
        <v>83</v>
      </c>
    </row>
    <row r="30" customFormat="false" ht="23.85" hidden="false" customHeight="false" outlineLevel="0" collapsed="false">
      <c r="B30" s="13" t="s">
        <v>84</v>
      </c>
      <c r="C30" s="14"/>
      <c r="D30" s="14"/>
      <c r="E30" s="14"/>
    </row>
    <row r="31" customFormat="false" ht="15" hidden="false" customHeight="false" outlineLevel="0" collapsed="false">
      <c r="B31" s="13" t="s">
        <v>36</v>
      </c>
      <c r="C31" s="30" t="s">
        <v>85</v>
      </c>
      <c r="D31" s="30" t="s">
        <v>86</v>
      </c>
      <c r="E31" s="30" t="s">
        <v>87</v>
      </c>
      <c r="F31" s="30" t="s">
        <v>88</v>
      </c>
      <c r="G31" s="30" t="s">
        <v>89</v>
      </c>
      <c r="H31" s="13" t="s">
        <v>90</v>
      </c>
    </row>
    <row r="32" customFormat="false" ht="15" hidden="false" customHeight="false" outlineLevel="0" collapsed="false">
      <c r="B32" s="15" t="s">
        <v>91</v>
      </c>
      <c r="C32" s="23" t="n">
        <v>12000</v>
      </c>
      <c r="D32" s="23" t="n">
        <v>36000</v>
      </c>
      <c r="E32" s="23" t="n">
        <v>90000</v>
      </c>
      <c r="F32" s="23" t="n">
        <v>180000</v>
      </c>
      <c r="G32" s="23" t="n">
        <v>320000</v>
      </c>
      <c r="H32" s="18" t="s">
        <v>92</v>
      </c>
    </row>
    <row r="33" customFormat="false" ht="15" hidden="false" customHeight="false" outlineLevel="0" collapsed="false">
      <c r="B33" s="19" t="s">
        <v>93</v>
      </c>
      <c r="C33" s="31" t="n">
        <v>0.22</v>
      </c>
      <c r="D33" s="31" t="n">
        <v>0.3</v>
      </c>
      <c r="E33" s="31" t="n">
        <v>0.38</v>
      </c>
      <c r="F33" s="31" t="n">
        <v>0.42</v>
      </c>
      <c r="G33" s="31" t="n">
        <v>0.45</v>
      </c>
      <c r="H33" s="22" t="s">
        <v>94</v>
      </c>
    </row>
    <row r="34" customFormat="false" ht="15" hidden="false" customHeight="false" outlineLevel="0" collapsed="false">
      <c r="B34" s="15" t="s">
        <v>95</v>
      </c>
      <c r="C34" s="32" t="n">
        <v>1.6</v>
      </c>
      <c r="D34" s="32" t="n">
        <v>1.9</v>
      </c>
      <c r="E34" s="32" t="n">
        <v>2.2</v>
      </c>
      <c r="F34" s="32" t="n">
        <v>2.4</v>
      </c>
      <c r="G34" s="32" t="n">
        <v>2.5</v>
      </c>
      <c r="H34" s="18" t="s">
        <v>96</v>
      </c>
    </row>
    <row r="35" customFormat="false" ht="15" hidden="false" customHeight="false" outlineLevel="0" collapsed="false">
      <c r="B35" s="19" t="s">
        <v>97</v>
      </c>
      <c r="C35" s="33" t="n">
        <v>58</v>
      </c>
      <c r="D35" s="33" t="n">
        <v>62</v>
      </c>
      <c r="E35" s="33" t="n">
        <v>65</v>
      </c>
      <c r="F35" s="33" t="n">
        <v>68</v>
      </c>
      <c r="G35" s="33" t="n">
        <v>72</v>
      </c>
      <c r="H35" s="22" t="s">
        <v>98</v>
      </c>
    </row>
    <row r="36" customFormat="false" ht="15" hidden="false" customHeight="false" outlineLevel="0" collapsed="false">
      <c r="B36" s="15" t="s">
        <v>99</v>
      </c>
      <c r="C36" s="34" t="n">
        <v>18</v>
      </c>
      <c r="D36" s="34" t="n">
        <v>22</v>
      </c>
      <c r="E36" s="34" t="n">
        <v>25</v>
      </c>
      <c r="F36" s="34" t="n">
        <v>24</v>
      </c>
      <c r="G36" s="34" t="n">
        <v>22</v>
      </c>
      <c r="H36" s="18" t="s">
        <v>100</v>
      </c>
    </row>
    <row r="37" customFormat="false" ht="15" hidden="false" customHeight="false" outlineLevel="0" collapsed="false">
      <c r="B37" s="19" t="s">
        <v>101</v>
      </c>
      <c r="C37" s="31" t="n">
        <v>0.08</v>
      </c>
      <c r="D37" s="31" t="n">
        <v>0.06</v>
      </c>
      <c r="E37" s="31" t="n">
        <v>0.04</v>
      </c>
      <c r="F37" s="31" t="n">
        <v>0.03</v>
      </c>
      <c r="G37" s="31" t="n">
        <v>0.03</v>
      </c>
      <c r="H37" s="22" t="s">
        <v>102</v>
      </c>
    </row>
    <row r="39" customFormat="false" ht="15" hidden="false" customHeight="false" outlineLevel="0" collapsed="false">
      <c r="B39" s="13" t="s">
        <v>103</v>
      </c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B40" s="13" t="s">
        <v>36</v>
      </c>
      <c r="C40" s="30" t="s">
        <v>85</v>
      </c>
      <c r="D40" s="30" t="s">
        <v>86</v>
      </c>
      <c r="E40" s="30" t="s">
        <v>87</v>
      </c>
      <c r="F40" s="30" t="s">
        <v>88</v>
      </c>
      <c r="G40" s="30" t="s">
        <v>89</v>
      </c>
      <c r="H40" s="13" t="s">
        <v>104</v>
      </c>
    </row>
    <row r="41" customFormat="false" ht="15" hidden="false" customHeight="false" outlineLevel="0" collapsed="false">
      <c r="B41" s="15" t="s">
        <v>105</v>
      </c>
      <c r="C41" s="34" t="n">
        <v>650</v>
      </c>
      <c r="D41" s="34" t="n">
        <v>950</v>
      </c>
      <c r="E41" s="34" t="n">
        <v>1500</v>
      </c>
      <c r="F41" s="34" t="n">
        <v>2400</v>
      </c>
      <c r="G41" s="34" t="n">
        <v>3600</v>
      </c>
      <c r="H41" s="18" t="s">
        <v>106</v>
      </c>
    </row>
    <row r="42" customFormat="false" ht="15" hidden="false" customHeight="false" outlineLevel="0" collapsed="false">
      <c r="B42" s="19" t="s">
        <v>107</v>
      </c>
      <c r="C42" s="33" t="n">
        <v>400</v>
      </c>
      <c r="D42" s="33" t="n">
        <v>600</v>
      </c>
      <c r="E42" s="33" t="n">
        <v>950</v>
      </c>
      <c r="F42" s="33" t="n">
        <v>1700</v>
      </c>
      <c r="G42" s="33" t="n">
        <v>2900</v>
      </c>
      <c r="H42" s="22" t="s">
        <v>108</v>
      </c>
    </row>
    <row r="43" customFormat="false" ht="15" hidden="false" customHeight="false" outlineLevel="0" collapsed="false">
      <c r="B43" s="15" t="s">
        <v>109</v>
      </c>
      <c r="C43" s="34" t="n">
        <v>250</v>
      </c>
      <c r="D43" s="34" t="n">
        <v>320</v>
      </c>
      <c r="E43" s="34" t="n">
        <v>450</v>
      </c>
      <c r="F43" s="34" t="n">
        <v>700</v>
      </c>
      <c r="G43" s="34" t="n">
        <v>1100</v>
      </c>
      <c r="H43" s="18" t="s">
        <v>110</v>
      </c>
    </row>
    <row r="44" customFormat="false" ht="15" hidden="false" customHeight="false" outlineLevel="0" collapsed="false">
      <c r="B44" s="19" t="s">
        <v>111</v>
      </c>
      <c r="C44" s="33" t="n">
        <v>150</v>
      </c>
      <c r="D44" s="33" t="n">
        <v>250</v>
      </c>
      <c r="E44" s="33" t="n">
        <v>400</v>
      </c>
      <c r="F44" s="33" t="n">
        <v>700</v>
      </c>
      <c r="G44" s="33" t="n">
        <v>1100</v>
      </c>
      <c r="H44" s="22" t="s">
        <v>112</v>
      </c>
    </row>
    <row r="45" customFormat="false" ht="15" hidden="false" customHeight="false" outlineLevel="0" collapsed="false">
      <c r="B45" s="15" t="s">
        <v>113</v>
      </c>
      <c r="C45" s="34" t="n">
        <v>100</v>
      </c>
      <c r="D45" s="34" t="n">
        <v>130</v>
      </c>
      <c r="E45" s="34" t="n">
        <v>180</v>
      </c>
      <c r="F45" s="34" t="n">
        <v>350</v>
      </c>
      <c r="G45" s="34" t="n">
        <v>500</v>
      </c>
      <c r="H45" s="18" t="s">
        <v>114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6"/>
  </cols>
  <sheetData>
    <row r="2" customFormat="false" ht="15" hidden="false" customHeight="false" outlineLevel="0" collapsed="false">
      <c r="B2" s="1" t="s">
        <v>115</v>
      </c>
    </row>
    <row r="3" customFormat="false" ht="30.55" hidden="false" customHeight="true" outlineLevel="0" collapsed="false">
      <c r="B3" s="2" t="s">
        <v>116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B4" s="3" t="s">
        <v>117</v>
      </c>
      <c r="C4" s="3"/>
      <c r="D4" s="3"/>
      <c r="E4" s="3"/>
      <c r="F4" s="3"/>
      <c r="G4" s="3"/>
      <c r="H4" s="3"/>
    </row>
    <row r="5" customFormat="false" ht="3.75" hidden="false" customHeight="true" outlineLevel="0" collapsed="false">
      <c r="B5" s="4"/>
      <c r="C5" s="4"/>
      <c r="D5" s="4"/>
      <c r="E5" s="4"/>
      <c r="F5" s="4"/>
      <c r="G5" s="4"/>
      <c r="H5" s="4"/>
    </row>
    <row r="7" customFormat="false" ht="20.85" hidden="false" customHeight="true" outlineLevel="0" collapsed="false">
      <c r="B7" s="5" t="s">
        <v>118</v>
      </c>
      <c r="C7" s="5"/>
      <c r="D7" s="5"/>
      <c r="E7" s="5"/>
      <c r="F7" s="5"/>
      <c r="G7" s="5"/>
      <c r="H7" s="5"/>
    </row>
    <row r="9" customFormat="false" ht="25.5" hidden="false" customHeight="true" outlineLevel="0" collapsed="false">
      <c r="B9" s="12" t="s">
        <v>119</v>
      </c>
      <c r="C9" s="12" t="s">
        <v>120</v>
      </c>
      <c r="D9" s="12" t="s">
        <v>44</v>
      </c>
      <c r="E9" s="12" t="s">
        <v>46</v>
      </c>
      <c r="F9" s="12" t="s">
        <v>48</v>
      </c>
      <c r="G9" s="12" t="s">
        <v>50</v>
      </c>
    </row>
    <row r="10" customFormat="false" ht="24" hidden="false" customHeight="true" outlineLevel="0" collapsed="false">
      <c r="B10" s="35" t="s">
        <v>121</v>
      </c>
      <c r="C10" s="36" t="n">
        <f aca="false">ROUND(((Assumptions!$C$15*Assumptions!$C$8) + (Assumptions!$C$15*Assumptions!$C$23) + (Assumptions!$C$22*Assumptions!$C$21) + Assumptions!$C$28 + Assumptions!$C$26) * Assumptions!$C$25 * (1 + Assumptions!$C$27) + Assumptions!$C$24, 0)</f>
        <v>33</v>
      </c>
      <c r="D10" s="36" t="n">
        <f aca="false">ROUND(((Assumptions!$C$15*Assumptions!$C$9) + (Assumptions!$C$15*Assumptions!$C$23) + (Assumptions!$C$22*Assumptions!$C$21) + Assumptions!$C$28 + Assumptions!$C$26) * Assumptions!$C$25 * (1 + Assumptions!$C$27) + Assumptions!$C$24, 0)</f>
        <v>33</v>
      </c>
      <c r="E10" s="36" t="n">
        <f aca="false">ROUND(((Assumptions!$C$15*Assumptions!$C$10) + (Assumptions!$C$15*Assumptions!$C$23) + (Assumptions!$C$22*Assumptions!$C$21) + Assumptions!$C$28 + Assumptions!$C$26) * Assumptions!$C$25 * (1 + Assumptions!$C$27) + Assumptions!$C$24, 0)</f>
        <v>34</v>
      </c>
      <c r="F10" s="36" t="n">
        <f aca="false">ROUND(((Assumptions!$C$15*Assumptions!$C$11) + (Assumptions!$C$15*Assumptions!$C$23) + (Assumptions!$C$22*Assumptions!$C$21) + Assumptions!$C$28 + Assumptions!$C$26) * Assumptions!$C$25 * (1 + Assumptions!$C$27) + Assumptions!$C$24, 0)</f>
        <v>36</v>
      </c>
      <c r="G10" s="36" t="n">
        <f aca="false">ROUND(((Assumptions!$C$15*Assumptions!$C$12) + (Assumptions!$C$15*Assumptions!$C$23) + (Assumptions!$C$22*Assumptions!$C$21) + Assumptions!$C$28 + Assumptions!$C$26) * Assumptions!$C$25 * (1 + Assumptions!$C$27) + Assumptions!$C$24, 0)</f>
        <v>34</v>
      </c>
    </row>
    <row r="11" customFormat="false" ht="24" hidden="false" customHeight="true" outlineLevel="0" collapsed="false">
      <c r="B11" s="35" t="s">
        <v>122</v>
      </c>
      <c r="C11" s="37" t="n">
        <f aca="false">ROUND(((Assumptions!$C$16*Assumptions!$C$8) + (Assumptions!$C$16*Assumptions!$C$23) + (Assumptions!$C$22*Assumptions!$C$21) + Assumptions!$C$28 + Assumptions!$C$26) * Assumptions!$C$25 * (1 + Assumptions!$C$27) + Assumptions!$C$24, 0)</f>
        <v>38</v>
      </c>
      <c r="D11" s="37" t="n">
        <f aca="false">ROUND(((Assumptions!$C$16*Assumptions!$C$9) + (Assumptions!$C$16*Assumptions!$C$23) + (Assumptions!$C$22*Assumptions!$C$21) + Assumptions!$C$28 + Assumptions!$C$26) * Assumptions!$C$25 * (1 + Assumptions!$C$27) + Assumptions!$C$24, 0)</f>
        <v>39</v>
      </c>
      <c r="E11" s="37" t="n">
        <f aca="false">ROUND(((Assumptions!$C$16*Assumptions!$C$10) + (Assumptions!$C$16*Assumptions!$C$23) + (Assumptions!$C$22*Assumptions!$C$21) + Assumptions!$C$28 + Assumptions!$C$26) * Assumptions!$C$25 * (1 + Assumptions!$C$27) + Assumptions!$C$24, 0)</f>
        <v>44</v>
      </c>
      <c r="F11" s="37" t="n">
        <f aca="false">ROUND(((Assumptions!$C$16*Assumptions!$C$11) + (Assumptions!$C$16*Assumptions!$C$23) + (Assumptions!$C$22*Assumptions!$C$21) + Assumptions!$C$28 + Assumptions!$C$26) * Assumptions!$C$25 * (1 + Assumptions!$C$27) + Assumptions!$C$24, 0)</f>
        <v>51</v>
      </c>
      <c r="G11" s="37" t="n">
        <f aca="false">ROUND(((Assumptions!$C$16*Assumptions!$C$12) + (Assumptions!$C$16*Assumptions!$C$23) + (Assumptions!$C$22*Assumptions!$C$21) + Assumptions!$C$28 + Assumptions!$C$26) * Assumptions!$C$25 * (1 + Assumptions!$C$27) + Assumptions!$C$24, 0)</f>
        <v>42</v>
      </c>
    </row>
    <row r="12" customFormat="false" ht="24" hidden="false" customHeight="true" outlineLevel="0" collapsed="false">
      <c r="B12" s="35" t="s">
        <v>123</v>
      </c>
      <c r="C12" s="36" t="n">
        <f aca="false">ROUND(((Assumptions!$C$17*Assumptions!$C$8) + (Assumptions!$C$17*Assumptions!$C$23) + (Assumptions!$C$22*Assumptions!$C$21) + Assumptions!$C$28 + Assumptions!$C$26) * Assumptions!$C$25 * (1 + Assumptions!$C$27) + Assumptions!$C$24, 0)</f>
        <v>53</v>
      </c>
      <c r="D12" s="36" t="n">
        <f aca="false">ROUND(((Assumptions!$C$17*Assumptions!$C$9) + (Assumptions!$C$17*Assumptions!$C$23) + (Assumptions!$C$22*Assumptions!$C$21) + Assumptions!$C$28 + Assumptions!$C$26) * Assumptions!$C$25 * (1 + Assumptions!$C$27) + Assumptions!$C$24, 0)</f>
        <v>58</v>
      </c>
      <c r="E12" s="36" t="n">
        <f aca="false">ROUND(((Assumptions!$C$17*Assumptions!$C$10) + (Assumptions!$C$17*Assumptions!$C$23) + (Assumptions!$C$22*Assumptions!$C$21) + Assumptions!$C$28 + Assumptions!$C$26) * Assumptions!$C$25 * (1 + Assumptions!$C$27) + Assumptions!$C$24, 0)</f>
        <v>74</v>
      </c>
      <c r="F12" s="36" t="n">
        <f aca="false">ROUND(((Assumptions!$C$17*Assumptions!$C$11) + (Assumptions!$C$17*Assumptions!$C$23) + (Assumptions!$C$22*Assumptions!$C$21) + Assumptions!$C$28 + Assumptions!$C$26) * Assumptions!$C$25 * (1 + Assumptions!$C$27) + Assumptions!$C$24, 0)</f>
        <v>97</v>
      </c>
      <c r="G12" s="36" t="n">
        <f aca="false">ROUND(((Assumptions!$C$17*Assumptions!$C$12) + (Assumptions!$C$17*Assumptions!$C$23) + (Assumptions!$C$22*Assumptions!$C$21) + Assumptions!$C$28 + Assumptions!$C$26) * Assumptions!$C$25 * (1 + Assumptions!$C$27) + Assumptions!$C$24, 0)</f>
        <v>68</v>
      </c>
    </row>
    <row r="13" customFormat="false" ht="24" hidden="false" customHeight="true" outlineLevel="0" collapsed="false">
      <c r="B13" s="35" t="s">
        <v>124</v>
      </c>
      <c r="C13" s="37" t="n">
        <f aca="false">ROUND(((Assumptions!$C$18*Assumptions!$C$8) + (Assumptions!$C$18*Assumptions!$C$23) + (Assumptions!$C$22*Assumptions!$C$21) + Assumptions!$C$28 + Assumptions!$C$26) * Assumptions!$C$25 * (1 + Assumptions!$C$27) + Assumptions!$C$24, 0)</f>
        <v>82</v>
      </c>
      <c r="D13" s="37" t="n">
        <f aca="false">ROUND(((Assumptions!$C$18*Assumptions!$C$9) + (Assumptions!$C$18*Assumptions!$C$23) + (Assumptions!$C$22*Assumptions!$C$21) + Assumptions!$C$28 + Assumptions!$C$26) * Assumptions!$C$25 * (1 + Assumptions!$C$27) + Assumptions!$C$24, 0)</f>
        <v>94</v>
      </c>
      <c r="E13" s="37" t="n">
        <f aca="false">ROUND(((Assumptions!$C$18*Assumptions!$C$10) + (Assumptions!$C$18*Assumptions!$C$23) + (Assumptions!$C$22*Assumptions!$C$21) + Assumptions!$C$28 + Assumptions!$C$26) * Assumptions!$C$25 * (1 + Assumptions!$C$27) + Assumptions!$C$24, 0)</f>
        <v>131</v>
      </c>
      <c r="F13" s="37" t="n">
        <f aca="false">ROUND(((Assumptions!$C$18*Assumptions!$C$11) + (Assumptions!$C$18*Assumptions!$C$23) + (Assumptions!$C$22*Assumptions!$C$21) + Assumptions!$C$28 + Assumptions!$C$26) * Assumptions!$C$25 * (1 + Assumptions!$C$27) + Assumptions!$C$24, 0)</f>
        <v>184</v>
      </c>
      <c r="G13" s="37" t="n">
        <f aca="false">ROUND(((Assumptions!$C$18*Assumptions!$C$12) + (Assumptions!$C$18*Assumptions!$C$23) + (Assumptions!$C$22*Assumptions!$C$21) + Assumptions!$C$28 + Assumptions!$C$26) * Assumptions!$C$25 * (1 + Assumptions!$C$27) + Assumptions!$C$24, 0)</f>
        <v>116</v>
      </c>
    </row>
    <row r="15" customFormat="false" ht="36" hidden="false" customHeight="true" outlineLevel="0" collapsed="false">
      <c r="B15" s="38" t="s">
        <v>125</v>
      </c>
      <c r="C15" s="38"/>
      <c r="D15" s="38"/>
      <c r="E15" s="38"/>
      <c r="F15" s="38"/>
      <c r="G15" s="38"/>
      <c r="H15" s="38"/>
    </row>
    <row r="17" customFormat="false" ht="20.85" hidden="false" customHeight="true" outlineLevel="0" collapsed="false">
      <c r="B17" s="5" t="s">
        <v>126</v>
      </c>
      <c r="C17" s="5"/>
      <c r="D17" s="5"/>
      <c r="E17" s="5"/>
      <c r="F17" s="5"/>
      <c r="G17" s="5"/>
      <c r="H17" s="5"/>
    </row>
    <row r="19" customFormat="false" ht="25.5" hidden="false" customHeight="true" outlineLevel="0" collapsed="false">
      <c r="B19" s="12" t="s">
        <v>127</v>
      </c>
      <c r="C19" s="12" t="s">
        <v>120</v>
      </c>
      <c r="D19" s="12" t="s">
        <v>44</v>
      </c>
      <c r="E19" s="12" t="s">
        <v>46</v>
      </c>
      <c r="F19" s="12" t="s">
        <v>48</v>
      </c>
      <c r="G19" s="12" t="s">
        <v>50</v>
      </c>
    </row>
    <row r="20" customFormat="false" ht="15" hidden="false" customHeight="false" outlineLevel="0" collapsed="false">
      <c r="B20" s="15" t="s">
        <v>128</v>
      </c>
      <c r="C20" s="39" t="n">
        <f aca="false">Assumptions!$C$16*Assumptions!$C$8</f>
        <v>1.575</v>
      </c>
      <c r="D20" s="39" t="n">
        <f aca="false">Assumptions!$C$16*Assumptions!$C$9</f>
        <v>2.1</v>
      </c>
      <c r="E20" s="39" t="n">
        <f aca="false">Assumptions!$C$16*Assumptions!$C$10</f>
        <v>3.85</v>
      </c>
      <c r="F20" s="39" t="n">
        <f aca="false">Assumptions!$C$16*Assumptions!$C$11</f>
        <v>6.3</v>
      </c>
      <c r="G20" s="39" t="n">
        <f aca="false">Assumptions!$C$16*Assumptions!$C$12</f>
        <v>3.15</v>
      </c>
    </row>
    <row r="21" customFormat="false" ht="15" hidden="false" customHeight="false" outlineLevel="0" collapsed="false">
      <c r="B21" s="19" t="s">
        <v>129</v>
      </c>
      <c r="C21" s="40" t="n">
        <f aca="false">Assumptions!$C$16*Assumptions!$C$23</f>
        <v>0.77</v>
      </c>
      <c r="D21" s="40" t="n">
        <f aca="false">Assumptions!$C$16*Assumptions!$C$23</f>
        <v>0.77</v>
      </c>
      <c r="E21" s="40" t="n">
        <f aca="false">Assumptions!$C$16*Assumptions!$C$23</f>
        <v>0.77</v>
      </c>
      <c r="F21" s="40" t="n">
        <f aca="false">Assumptions!$C$16*Assumptions!$C$23</f>
        <v>0.77</v>
      </c>
      <c r="G21" s="40" t="n">
        <f aca="false">Assumptions!$C$16*Assumptions!$C$23</f>
        <v>0.77</v>
      </c>
    </row>
    <row r="22" customFormat="false" ht="15" hidden="false" customHeight="false" outlineLevel="0" collapsed="false">
      <c r="B22" s="15" t="s">
        <v>130</v>
      </c>
      <c r="C22" s="39" t="n">
        <f aca="false">Assumptions!$C$22*Assumptions!$C$21</f>
        <v>4.4</v>
      </c>
      <c r="D22" s="39" t="n">
        <f aca="false">Assumptions!$C$22*Assumptions!$C$21</f>
        <v>4.4</v>
      </c>
      <c r="E22" s="39" t="n">
        <f aca="false">Assumptions!$C$22*Assumptions!$C$21</f>
        <v>4.4</v>
      </c>
      <c r="F22" s="39" t="n">
        <f aca="false">Assumptions!$C$22*Assumptions!$C$21</f>
        <v>4.4</v>
      </c>
      <c r="G22" s="39" t="n">
        <f aca="false">Assumptions!$C$22*Assumptions!$C$21</f>
        <v>4.4</v>
      </c>
    </row>
    <row r="23" customFormat="false" ht="15" hidden="false" customHeight="false" outlineLevel="0" collapsed="false">
      <c r="B23" s="19" t="s">
        <v>131</v>
      </c>
      <c r="C23" s="40" t="n">
        <f aca="false">Assumptions!$C$28</f>
        <v>0.4</v>
      </c>
      <c r="D23" s="40" t="n">
        <f aca="false">Assumptions!$C$28</f>
        <v>0.4</v>
      </c>
      <c r="E23" s="40" t="n">
        <f aca="false">Assumptions!$C$28</f>
        <v>0.4</v>
      </c>
      <c r="F23" s="40" t="n">
        <f aca="false">Assumptions!$C$28</f>
        <v>0.4</v>
      </c>
      <c r="G23" s="40" t="n">
        <f aca="false">Assumptions!$C$28</f>
        <v>0.4</v>
      </c>
    </row>
    <row r="24" customFormat="false" ht="15" hidden="false" customHeight="false" outlineLevel="0" collapsed="false">
      <c r="B24" s="15" t="s">
        <v>132</v>
      </c>
      <c r="C24" s="39" t="n">
        <f aca="false">Assumptions!$C$26</f>
        <v>5.8</v>
      </c>
      <c r="D24" s="39" t="n">
        <f aca="false">Assumptions!$C$26</f>
        <v>5.8</v>
      </c>
      <c r="E24" s="39" t="n">
        <f aca="false">Assumptions!$C$26</f>
        <v>5.8</v>
      </c>
      <c r="F24" s="39" t="n">
        <f aca="false">Assumptions!$C$26</f>
        <v>5.8</v>
      </c>
      <c r="G24" s="39" t="n">
        <f aca="false">Assumptions!$C$26</f>
        <v>5.8</v>
      </c>
    </row>
    <row r="25" customFormat="false" ht="15" hidden="false" customHeight="false" outlineLevel="0" collapsed="false">
      <c r="B25" s="41" t="s">
        <v>133</v>
      </c>
      <c r="C25" s="42" t="n">
        <f aca="false">SUM(C20:C24)</f>
        <v>12.945</v>
      </c>
      <c r="D25" s="42" t="n">
        <f aca="false">SUM(D20:D24)</f>
        <v>13.47</v>
      </c>
      <c r="E25" s="42" t="n">
        <f aca="false">SUM(E20:E24)</f>
        <v>15.22</v>
      </c>
      <c r="F25" s="42" t="n">
        <f aca="false">SUM(F20:F24)</f>
        <v>17.67</v>
      </c>
      <c r="G25" s="42" t="n">
        <f aca="false">SUM(G20:G24)</f>
        <v>14.52</v>
      </c>
    </row>
    <row r="26" customFormat="false" ht="15" hidden="false" customHeight="false" outlineLevel="0" collapsed="false">
      <c r="B26" s="43" t="s">
        <v>134</v>
      </c>
      <c r="C26" s="44" t="n">
        <f aca="false">C25*Assumptions!$C$27</f>
        <v>1.0356</v>
      </c>
      <c r="D26" s="44" t="n">
        <f aca="false">D25*Assumptions!$C$27</f>
        <v>1.0776</v>
      </c>
      <c r="E26" s="44" t="n">
        <f aca="false">E25*Assumptions!$C$27</f>
        <v>1.2176</v>
      </c>
      <c r="F26" s="44" t="n">
        <f aca="false">F25*Assumptions!$C$27</f>
        <v>1.4136</v>
      </c>
      <c r="G26" s="44" t="n">
        <f aca="false">G25*Assumptions!$C$27</f>
        <v>1.1616</v>
      </c>
    </row>
    <row r="27" customFormat="false" ht="15" hidden="false" customHeight="false" outlineLevel="0" collapsed="false">
      <c r="B27" s="45" t="s">
        <v>135</v>
      </c>
      <c r="C27" s="46" t="n">
        <f aca="false">C25+C26</f>
        <v>13.9806</v>
      </c>
      <c r="D27" s="46" t="n">
        <f aca="false">D25+D26</f>
        <v>14.5476</v>
      </c>
      <c r="E27" s="46" t="n">
        <f aca="false">E25+E26</f>
        <v>16.4376</v>
      </c>
      <c r="F27" s="46" t="n">
        <f aca="false">F25+F26</f>
        <v>19.0836</v>
      </c>
      <c r="G27" s="46" t="n">
        <f aca="false">G25+G26</f>
        <v>15.6816</v>
      </c>
    </row>
    <row r="28" customFormat="false" ht="15" hidden="false" customHeight="false" outlineLevel="0" collapsed="false">
      <c r="B28" s="19" t="s">
        <v>136</v>
      </c>
      <c r="C28" s="47" t="n">
        <f aca="false">C27*(Assumptions!$C$25-1)</f>
        <v>20.9709</v>
      </c>
      <c r="D28" s="47" t="n">
        <f aca="false">D27*(Assumptions!$C$25-1)</f>
        <v>21.8214</v>
      </c>
      <c r="E28" s="47" t="n">
        <f aca="false">E27*(Assumptions!$C$25-1)</f>
        <v>24.6564</v>
      </c>
      <c r="F28" s="47" t="n">
        <f aca="false">F27*(Assumptions!$C$25-1)</f>
        <v>28.6254</v>
      </c>
      <c r="G28" s="47" t="n">
        <f aca="false">G27*(Assumptions!$C$25-1)</f>
        <v>23.5224</v>
      </c>
    </row>
    <row r="29" customFormat="false" ht="15" hidden="false" customHeight="false" outlineLevel="0" collapsed="false">
      <c r="B29" s="48" t="s">
        <v>137</v>
      </c>
      <c r="C29" s="49" t="n">
        <f aca="false">Assumptions!$C$24</f>
        <v>3</v>
      </c>
      <c r="D29" s="49" t="n">
        <f aca="false">Assumptions!$C$24</f>
        <v>3</v>
      </c>
      <c r="E29" s="49" t="n">
        <f aca="false">Assumptions!$C$24</f>
        <v>3</v>
      </c>
      <c r="F29" s="49" t="n">
        <f aca="false">Assumptions!$C$24</f>
        <v>3</v>
      </c>
      <c r="G29" s="49" t="n">
        <f aca="false">Assumptions!$C$24</f>
        <v>3</v>
      </c>
    </row>
    <row r="30" customFormat="false" ht="24" hidden="false" customHeight="true" outlineLevel="0" collapsed="false">
      <c r="B30" s="50" t="s">
        <v>138</v>
      </c>
      <c r="C30" s="51" t="n">
        <f aca="false">ROUND(C27*Assumptions!$C$25+C29,0)</f>
        <v>38</v>
      </c>
      <c r="D30" s="51" t="n">
        <f aca="false">ROUND(D27*Assumptions!$C$25+D29,0)</f>
        <v>39</v>
      </c>
      <c r="E30" s="51" t="n">
        <f aca="false">ROUND(E27*Assumptions!$C$25+E29,0)</f>
        <v>44</v>
      </c>
      <c r="F30" s="51" t="n">
        <f aca="false">ROUND(F27*Assumptions!$C$25+F29,0)</f>
        <v>51</v>
      </c>
      <c r="G30" s="51" t="n">
        <f aca="false">ROUND(G27*Assumptions!$C$25+G29,0)</f>
        <v>42</v>
      </c>
    </row>
    <row r="33" customFormat="false" ht="20.85" hidden="false" customHeight="true" outlineLevel="0" collapsed="false">
      <c r="B33" s="5" t="s">
        <v>139</v>
      </c>
      <c r="C33" s="5"/>
      <c r="D33" s="5"/>
      <c r="E33" s="5"/>
      <c r="F33" s="5"/>
      <c r="G33" s="5"/>
      <c r="H33" s="5"/>
    </row>
    <row r="34" customFormat="false" ht="21.75" hidden="false" customHeight="true" outlineLevel="0" collapsed="false">
      <c r="B34" s="12" t="s">
        <v>140</v>
      </c>
      <c r="C34" s="12" t="s">
        <v>37</v>
      </c>
      <c r="D34" s="12" t="s">
        <v>104</v>
      </c>
      <c r="E34" s="12"/>
      <c r="F34" s="12"/>
      <c r="G34" s="12"/>
      <c r="H34" s="12"/>
    </row>
    <row r="35" customFormat="false" ht="23.85" hidden="false" customHeight="true" outlineLevel="0" collapsed="false">
      <c r="B35" s="15" t="s">
        <v>141</v>
      </c>
      <c r="C35" s="52" t="s">
        <v>142</v>
      </c>
      <c r="D35" s="53" t="s">
        <v>143</v>
      </c>
      <c r="E35" s="53"/>
      <c r="F35" s="53"/>
      <c r="G35" s="53"/>
      <c r="H35" s="53"/>
    </row>
    <row r="36" customFormat="false" ht="15" hidden="false" customHeight="true" outlineLevel="0" collapsed="false">
      <c r="B36" s="19" t="s">
        <v>144</v>
      </c>
      <c r="C36" s="43" t="s">
        <v>145</v>
      </c>
      <c r="D36" s="54" t="s">
        <v>146</v>
      </c>
      <c r="E36" s="54"/>
      <c r="F36" s="54"/>
      <c r="G36" s="54"/>
      <c r="H36" s="54"/>
    </row>
    <row r="37" customFormat="false" ht="15" hidden="false" customHeight="true" outlineLevel="0" collapsed="false">
      <c r="B37" s="15" t="s">
        <v>147</v>
      </c>
      <c r="C37" s="52" t="s">
        <v>148</v>
      </c>
      <c r="D37" s="53" t="s">
        <v>149</v>
      </c>
      <c r="E37" s="53"/>
      <c r="F37" s="53"/>
      <c r="G37" s="53"/>
      <c r="H37" s="53"/>
    </row>
    <row r="38" customFormat="false" ht="15" hidden="false" customHeight="true" outlineLevel="0" collapsed="false">
      <c r="B38" s="19" t="s">
        <v>150</v>
      </c>
      <c r="C38" s="43" t="s">
        <v>151</v>
      </c>
      <c r="D38" s="54" t="s">
        <v>152</v>
      </c>
      <c r="E38" s="54"/>
      <c r="F38" s="54"/>
      <c r="G38" s="54"/>
      <c r="H38" s="54"/>
    </row>
    <row r="39" customFormat="false" ht="15" hidden="false" customHeight="true" outlineLevel="0" collapsed="false">
      <c r="B39" s="15" t="s">
        <v>153</v>
      </c>
      <c r="C39" s="52" t="s">
        <v>154</v>
      </c>
      <c r="D39" s="53" t="s">
        <v>155</v>
      </c>
      <c r="E39" s="53"/>
      <c r="F39" s="53"/>
      <c r="G39" s="53"/>
      <c r="H39" s="53"/>
    </row>
  </sheetData>
  <mergeCells count="12">
    <mergeCell ref="B3:H3"/>
    <mergeCell ref="B4:H4"/>
    <mergeCell ref="B7:H7"/>
    <mergeCell ref="B15:H15"/>
    <mergeCell ref="B17:H17"/>
    <mergeCell ref="B33:H33"/>
    <mergeCell ref="D34:H34"/>
    <mergeCell ref="D35:H35"/>
    <mergeCell ref="D36:H36"/>
    <mergeCell ref="D37:H37"/>
    <mergeCell ref="D38:H38"/>
    <mergeCell ref="D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2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8" min="6" style="0" width="12"/>
  </cols>
  <sheetData>
    <row r="2" customFormat="false" ht="15" hidden="false" customHeight="false" outlineLevel="0" collapsed="false">
      <c r="B2" s="1" t="s">
        <v>156</v>
      </c>
    </row>
    <row r="3" customFormat="false" ht="30.55" hidden="false" customHeight="true" outlineLevel="0" collapsed="false">
      <c r="B3" s="2" t="s">
        <v>157</v>
      </c>
      <c r="C3" s="2"/>
      <c r="D3" s="2"/>
      <c r="E3" s="2"/>
    </row>
    <row r="4" customFormat="false" ht="15" hidden="false" customHeight="true" outlineLevel="0" collapsed="false">
      <c r="B4" s="3" t="s">
        <v>158</v>
      </c>
      <c r="C4" s="3"/>
      <c r="D4" s="3"/>
      <c r="E4" s="3"/>
    </row>
    <row r="5" customFormat="false" ht="3.75" hidden="false" customHeight="true" outlineLevel="0" collapsed="false">
      <c r="B5" s="4"/>
      <c r="C5" s="4"/>
      <c r="D5" s="4"/>
      <c r="E5" s="4"/>
    </row>
    <row r="7" customFormat="false" ht="25.5" hidden="false" customHeight="true" outlineLevel="0" collapsed="false">
      <c r="B7" s="12" t="s">
        <v>159</v>
      </c>
      <c r="C7" s="12" t="s">
        <v>160</v>
      </c>
      <c r="D7" s="12" t="s">
        <v>161</v>
      </c>
      <c r="E7" s="12" t="s">
        <v>162</v>
      </c>
    </row>
    <row r="8" customFormat="false" ht="15" hidden="false" customHeight="false" outlineLevel="0" collapsed="false">
      <c r="B8" s="15" t="s">
        <v>163</v>
      </c>
      <c r="C8" s="55" t="n">
        <f aca="false">Assumptions!$C$35</f>
        <v>58</v>
      </c>
      <c r="D8" s="56" t="n">
        <f aca="false">1</f>
        <v>1</v>
      </c>
      <c r="E8" s="53" t="s">
        <v>164</v>
      </c>
    </row>
    <row r="9" customFormat="false" ht="15" hidden="false" customHeight="false" outlineLevel="0" collapsed="false">
      <c r="B9" s="19" t="s">
        <v>165</v>
      </c>
      <c r="C9" s="57" t="n">
        <f aca="false">C8*0.2</f>
        <v>11.6</v>
      </c>
      <c r="D9" s="58" t="n">
        <f aca="false">C9/$C$8</f>
        <v>0.2</v>
      </c>
      <c r="E9" s="54" t="s">
        <v>166</v>
      </c>
    </row>
    <row r="10" customFormat="false" ht="15" hidden="false" customHeight="false" outlineLevel="0" collapsed="false">
      <c r="B10" s="15" t="s">
        <v>167</v>
      </c>
      <c r="C10" s="55" t="n">
        <f aca="false">C8*0.15</f>
        <v>8.7</v>
      </c>
      <c r="D10" s="56" t="n">
        <f aca="false">C10/$C$8</f>
        <v>0.15</v>
      </c>
      <c r="E10" s="53" t="s">
        <v>168</v>
      </c>
    </row>
    <row r="11" customFormat="false" ht="15" hidden="false" customHeight="false" outlineLevel="0" collapsed="false">
      <c r="B11" s="19" t="s">
        <v>129</v>
      </c>
      <c r="C11" s="57" t="n">
        <f aca="false">C8*0.07</f>
        <v>4.06</v>
      </c>
      <c r="D11" s="58" t="n">
        <f aca="false">C11/$C$8</f>
        <v>0.07</v>
      </c>
      <c r="E11" s="54" t="s">
        <v>169</v>
      </c>
    </row>
    <row r="12" customFormat="false" ht="15" hidden="false" customHeight="false" outlineLevel="0" collapsed="false">
      <c r="B12" s="15" t="s">
        <v>132</v>
      </c>
      <c r="C12" s="55" t="n">
        <f aca="false">C8*0.1</f>
        <v>5.8</v>
      </c>
      <c r="D12" s="56" t="n">
        <f aca="false">C12/$C$8</f>
        <v>0.1</v>
      </c>
      <c r="E12" s="53" t="s">
        <v>170</v>
      </c>
    </row>
    <row r="13" customFormat="false" ht="15" hidden="false" customHeight="false" outlineLevel="0" collapsed="false">
      <c r="B13" s="41" t="s">
        <v>171</v>
      </c>
      <c r="C13" s="59" t="n">
        <f aca="false">SUM(C9:C12)</f>
        <v>30.16</v>
      </c>
      <c r="D13" s="60" t="n">
        <f aca="false">C13/$C$8</f>
        <v>0.52</v>
      </c>
      <c r="E13" s="61" t="s">
        <v>172</v>
      </c>
    </row>
    <row r="14" customFormat="false" ht="15" hidden="false" customHeight="false" outlineLevel="0" collapsed="false">
      <c r="B14" s="41" t="s">
        <v>173</v>
      </c>
      <c r="C14" s="59" t="n">
        <f aca="false">C8-C13</f>
        <v>27.84</v>
      </c>
      <c r="D14" s="60" t="n">
        <f aca="false">C14/$C$8</f>
        <v>0.48</v>
      </c>
      <c r="E14" s="61" t="s">
        <v>174</v>
      </c>
    </row>
    <row r="15" customFormat="false" ht="15" hidden="false" customHeight="false" outlineLevel="0" collapsed="false">
      <c r="B15" s="19" t="s">
        <v>175</v>
      </c>
      <c r="C15" s="57" t="n">
        <f aca="false">Assumptions!$C$36</f>
        <v>18</v>
      </c>
      <c r="D15" s="58" t="n">
        <f aca="false">C15/$C$8</f>
        <v>0.310344827586207</v>
      </c>
      <c r="E15" s="54" t="s">
        <v>176</v>
      </c>
    </row>
    <row r="16" customFormat="false" ht="15" hidden="false" customHeight="false" outlineLevel="0" collapsed="false">
      <c r="B16" s="41" t="s">
        <v>177</v>
      </c>
      <c r="C16" s="59" t="n">
        <f aca="false">C14-C15</f>
        <v>9.84</v>
      </c>
      <c r="D16" s="60" t="n">
        <f aca="false">C16/$C$8</f>
        <v>0.169655172413793</v>
      </c>
      <c r="E16" s="61" t="s">
        <v>178</v>
      </c>
    </row>
    <row r="17" customFormat="false" ht="15" hidden="false" customHeight="false" outlineLevel="0" collapsed="false">
      <c r="B17" s="19" t="s">
        <v>179</v>
      </c>
      <c r="C17" s="57" t="n">
        <f aca="false">IF(C16&gt;0, 1/(C16/C8), "-")</f>
        <v>5.89430894308943</v>
      </c>
      <c r="D17" s="62" t="s">
        <v>180</v>
      </c>
      <c r="E17" s="54" t="s">
        <v>181</v>
      </c>
    </row>
    <row r="19" customFormat="false" ht="55.5" hidden="false" customHeight="true" outlineLevel="0" collapsed="false">
      <c r="B19" s="38" t="s">
        <v>182</v>
      </c>
      <c r="C19" s="38"/>
      <c r="D19" s="38"/>
      <c r="E19" s="38"/>
    </row>
    <row r="21" customFormat="false" ht="20.85" hidden="false" customHeight="true" outlineLevel="0" collapsed="false">
      <c r="B21" s="5" t="s">
        <v>183</v>
      </c>
      <c r="C21" s="5"/>
      <c r="D21" s="5"/>
      <c r="E21" s="5"/>
      <c r="F21" s="5"/>
      <c r="G21" s="5"/>
      <c r="H21" s="5"/>
    </row>
    <row r="23" customFormat="false" ht="21.75" hidden="false" customHeight="true" outlineLevel="0" collapsed="false">
      <c r="B23" s="12" t="s">
        <v>184</v>
      </c>
      <c r="C23" s="12" t="s">
        <v>85</v>
      </c>
      <c r="D23" s="12" t="s">
        <v>86</v>
      </c>
      <c r="E23" s="12" t="s">
        <v>87</v>
      </c>
      <c r="F23" s="12" t="s">
        <v>88</v>
      </c>
      <c r="G23" s="12" t="s">
        <v>89</v>
      </c>
    </row>
    <row r="24" customFormat="false" ht="15" hidden="false" customHeight="false" outlineLevel="0" collapsed="false">
      <c r="B24" s="15" t="s">
        <v>185</v>
      </c>
      <c r="C24" s="63" t="n">
        <f aca="false">INDEX(Assumptions!$C$35:$G$35,1,1)</f>
        <v>58</v>
      </c>
      <c r="D24" s="63" t="n">
        <f aca="false">INDEX(Assumptions!$C$35:$G$35,1,2)</f>
        <v>62</v>
      </c>
      <c r="E24" s="63" t="n">
        <f aca="false">INDEX(Assumptions!$C$35:$G$35,1,3)</f>
        <v>65</v>
      </c>
      <c r="F24" s="63" t="n">
        <f aca="false">INDEX(Assumptions!$C$35:$G$35,1,4)</f>
        <v>68</v>
      </c>
      <c r="G24" s="63" t="n">
        <f aca="false">INDEX(Assumptions!$C$35:$G$35,1,5)</f>
        <v>72</v>
      </c>
    </row>
    <row r="25" customFormat="false" ht="15" hidden="false" customHeight="false" outlineLevel="0" collapsed="false">
      <c r="B25" s="19" t="s">
        <v>186</v>
      </c>
      <c r="C25" s="64" t="n">
        <f aca="false">INDEX(Assumptions!$C$36:$G$36,1,1)</f>
        <v>18</v>
      </c>
      <c r="D25" s="64" t="n">
        <f aca="false">INDEX(Assumptions!$C$36:$G$36,1,2)</f>
        <v>22</v>
      </c>
      <c r="E25" s="64" t="n">
        <f aca="false">INDEX(Assumptions!$C$36:$G$36,1,3)</f>
        <v>25</v>
      </c>
      <c r="F25" s="64" t="n">
        <f aca="false">INDEX(Assumptions!$C$36:$G$36,1,4)</f>
        <v>24</v>
      </c>
      <c r="G25" s="64" t="n">
        <f aca="false">INDEX(Assumptions!$C$36:$G$36,1,5)</f>
        <v>22</v>
      </c>
    </row>
    <row r="26" customFormat="false" ht="15" hidden="false" customHeight="false" outlineLevel="0" collapsed="false">
      <c r="B26" s="15" t="s">
        <v>187</v>
      </c>
      <c r="C26" s="56" t="n">
        <f aca="false">INDEX(Assumptions!$C$37:$G$37,1,1)</f>
        <v>0.08</v>
      </c>
      <c r="D26" s="56" t="n">
        <f aca="false">INDEX(Assumptions!$C$37:$G$37,1,2)</f>
        <v>0.06</v>
      </c>
      <c r="E26" s="56" t="n">
        <f aca="false">INDEX(Assumptions!$C$37:$G$37,1,3)</f>
        <v>0.04</v>
      </c>
      <c r="F26" s="56" t="n">
        <f aca="false">INDEX(Assumptions!$C$37:$G$37,1,4)</f>
        <v>0.03</v>
      </c>
      <c r="G26" s="56" t="n">
        <f aca="false">INDEX(Assumptions!$C$37:$G$37,1,5)</f>
        <v>0.03</v>
      </c>
    </row>
    <row r="27" customFormat="false" ht="15" hidden="false" customHeight="false" outlineLevel="0" collapsed="false">
      <c r="B27" s="19" t="s">
        <v>188</v>
      </c>
      <c r="C27" s="58" t="n">
        <f aca="false">0.48 + (0*0.02)</f>
        <v>0.48</v>
      </c>
      <c r="D27" s="58" t="n">
        <f aca="false">0.48 + (1*0.02)</f>
        <v>0.5</v>
      </c>
      <c r="E27" s="58" t="n">
        <f aca="false">0.48 + (2*0.02)</f>
        <v>0.52</v>
      </c>
      <c r="F27" s="58" t="n">
        <f aca="false">0.48 + (3*0.02)</f>
        <v>0.54</v>
      </c>
      <c r="G27" s="58" t="n">
        <f aca="false">0.48 + (4*0.02)</f>
        <v>0.56</v>
      </c>
    </row>
    <row r="28" customFormat="false" ht="15" hidden="false" customHeight="false" outlineLevel="0" collapsed="false">
      <c r="B28" s="15" t="s">
        <v>189</v>
      </c>
      <c r="C28" s="63" t="n">
        <f aca="false">INDEX(Assumptions!$C$35:$G$35,1,1) * (1 + INDEX(Assumptions!$C$33:$G$33,1,1) * INDEX(Assumptions!$C$34:$G$34,1,1))</f>
        <v>78.416</v>
      </c>
      <c r="D28" s="63" t="n">
        <f aca="false">INDEX(Assumptions!$C$35:$G$35,1,2) * (1 + INDEX(Assumptions!$C$33:$G$33,1,2) * INDEX(Assumptions!$C$34:$G$34,1,2))</f>
        <v>97.34</v>
      </c>
      <c r="E28" s="63" t="n">
        <f aca="false">INDEX(Assumptions!$C$35:$G$35,1,3) * (1 + INDEX(Assumptions!$C$33:$G$33,1,3) * INDEX(Assumptions!$C$34:$G$34,1,3))</f>
        <v>119.34</v>
      </c>
      <c r="F28" s="63" t="n">
        <f aca="false">INDEX(Assumptions!$C$35:$G$35,1,4) * (1 + INDEX(Assumptions!$C$33:$G$33,1,4) * INDEX(Assumptions!$C$34:$G$34,1,4))</f>
        <v>136.544</v>
      </c>
      <c r="G28" s="63" t="n">
        <f aca="false">INDEX(Assumptions!$C$35:$G$35,1,5) * (1 + INDEX(Assumptions!$C$33:$G$33,1,5) * INDEX(Assumptions!$C$34:$G$34,1,5))</f>
        <v>153</v>
      </c>
    </row>
    <row r="29" customFormat="false" ht="15" hidden="false" customHeight="false" outlineLevel="0" collapsed="false">
      <c r="B29" s="19" t="s">
        <v>190</v>
      </c>
      <c r="C29" s="65" t="n">
        <f aca="false">(INDEX(Assumptions!$C$35:$G$35,1,1) * (1 + INDEX(Assumptions!$C$33:$G$33,1,1) * INDEX(Assumptions!$C$34:$G$34,1,1))) / INDEX(Assumptions!$C$36:$G$36,1,1)</f>
        <v>4.35644444444445</v>
      </c>
      <c r="D29" s="65" t="n">
        <f aca="false">(INDEX(Assumptions!$C$35:$G$35,1,2) * (1 + INDEX(Assumptions!$C$33:$G$33,1,2) * INDEX(Assumptions!$C$34:$G$34,1,2))) / INDEX(Assumptions!$C$36:$G$36,1,2)</f>
        <v>4.42454545454545</v>
      </c>
      <c r="E29" s="65" t="n">
        <f aca="false">(INDEX(Assumptions!$C$35:$G$35,1,3) * (1 + INDEX(Assumptions!$C$33:$G$33,1,3) * INDEX(Assumptions!$C$34:$G$34,1,3))) / INDEX(Assumptions!$C$36:$G$36,1,3)</f>
        <v>4.7736</v>
      </c>
      <c r="F29" s="65" t="n">
        <f aca="false">(INDEX(Assumptions!$C$35:$G$35,1,4) * (1 + INDEX(Assumptions!$C$33:$G$33,1,4) * INDEX(Assumptions!$C$34:$G$34,1,4))) / INDEX(Assumptions!$C$36:$G$36,1,4)</f>
        <v>5.68933333333333</v>
      </c>
      <c r="G29" s="65" t="n">
        <f aca="false">(INDEX(Assumptions!$C$35:$G$35,1,5) * (1 + INDEX(Assumptions!$C$33:$G$33,1,5) * INDEX(Assumptions!$C$34:$G$34,1,5))) / INDEX(Assumptions!$C$36:$G$36,1,5)</f>
        <v>6.95454545454545</v>
      </c>
    </row>
  </sheetData>
  <mergeCells count="4">
    <mergeCell ref="B3:E3"/>
    <mergeCell ref="B4:E4"/>
    <mergeCell ref="B19:E1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50"/>
  </cols>
  <sheetData>
    <row r="2" customFormat="false" ht="15" hidden="false" customHeight="false" outlineLevel="0" collapsed="false">
      <c r="B2" s="1" t="s">
        <v>191</v>
      </c>
    </row>
    <row r="3" customFormat="false" ht="30.55" hidden="false" customHeight="true" outlineLevel="0" collapsed="false">
      <c r="B3" s="2" t="s">
        <v>192</v>
      </c>
      <c r="C3" s="2"/>
      <c r="D3" s="2"/>
      <c r="E3" s="2"/>
      <c r="F3" s="2"/>
      <c r="G3" s="2"/>
    </row>
    <row r="4" customFormat="false" ht="15" hidden="false" customHeight="true" outlineLevel="0" collapsed="false">
      <c r="B4" s="3" t="s">
        <v>193</v>
      </c>
      <c r="C4" s="3"/>
      <c r="D4" s="3"/>
      <c r="E4" s="3"/>
      <c r="F4" s="3"/>
      <c r="G4" s="3"/>
    </row>
    <row r="5" customFormat="false" ht="3.75" hidden="false" customHeight="true" outlineLevel="0" collapsed="false">
      <c r="B5" s="4"/>
      <c r="C5" s="4"/>
      <c r="D5" s="4"/>
      <c r="E5" s="4"/>
      <c r="F5" s="4"/>
      <c r="G5" s="4"/>
    </row>
    <row r="7" customFormat="false" ht="25.5" hidden="false" customHeight="true" outlineLevel="0" collapsed="false">
      <c r="B7" s="12" t="s">
        <v>194</v>
      </c>
      <c r="C7" s="12" t="s">
        <v>195</v>
      </c>
      <c r="D7" s="12" t="s">
        <v>196</v>
      </c>
      <c r="E7" s="12" t="s">
        <v>197</v>
      </c>
      <c r="F7" s="12" t="s">
        <v>198</v>
      </c>
      <c r="G7" s="12" t="s">
        <v>199</v>
      </c>
    </row>
    <row r="8" customFormat="false" ht="19.4" hidden="false" customHeight="false" outlineLevel="0" collapsed="false">
      <c r="B8" s="15" t="s">
        <v>200</v>
      </c>
      <c r="C8" s="29" t="n">
        <v>0.2</v>
      </c>
      <c r="D8" s="29" t="n">
        <v>0.16</v>
      </c>
      <c r="E8" s="34" t="n">
        <v>8</v>
      </c>
      <c r="F8" s="66" t="n">
        <f aca="false">C8*E8</f>
        <v>1.6</v>
      </c>
      <c r="G8" s="18" t="s">
        <v>201</v>
      </c>
    </row>
    <row r="9" customFormat="false" ht="15" hidden="false" customHeight="false" outlineLevel="0" collapsed="false">
      <c r="B9" s="19" t="s">
        <v>202</v>
      </c>
      <c r="C9" s="31" t="n">
        <v>0.1</v>
      </c>
      <c r="D9" s="31" t="n">
        <v>0.14</v>
      </c>
      <c r="E9" s="33" t="n">
        <v>15</v>
      </c>
      <c r="F9" s="67" t="n">
        <f aca="false">C9*E9</f>
        <v>1.5</v>
      </c>
      <c r="G9" s="22" t="s">
        <v>203</v>
      </c>
    </row>
    <row r="10" customFormat="false" ht="15" hidden="false" customHeight="false" outlineLevel="0" collapsed="false">
      <c r="B10" s="15" t="s">
        <v>204</v>
      </c>
      <c r="C10" s="29" t="n">
        <v>0.08</v>
      </c>
      <c r="D10" s="29" t="n">
        <v>0.14</v>
      </c>
      <c r="E10" s="34" t="n">
        <v>12</v>
      </c>
      <c r="F10" s="66" t="n">
        <f aca="false">C10*E10</f>
        <v>0.96</v>
      </c>
      <c r="G10" s="18" t="s">
        <v>205</v>
      </c>
    </row>
    <row r="11" customFormat="false" ht="15" hidden="false" customHeight="false" outlineLevel="0" collapsed="false">
      <c r="B11" s="19" t="s">
        <v>206</v>
      </c>
      <c r="C11" s="31" t="n">
        <v>0.4</v>
      </c>
      <c r="D11" s="31" t="n">
        <v>0.3</v>
      </c>
      <c r="E11" s="33" t="n">
        <v>32</v>
      </c>
      <c r="F11" s="67" t="n">
        <f aca="false">C11*E11</f>
        <v>12.8</v>
      </c>
      <c r="G11" s="22" t="s">
        <v>207</v>
      </c>
    </row>
    <row r="12" customFormat="false" ht="15" hidden="false" customHeight="false" outlineLevel="0" collapsed="false">
      <c r="B12" s="15" t="s">
        <v>208</v>
      </c>
      <c r="C12" s="29" t="n">
        <v>0.07</v>
      </c>
      <c r="D12" s="29" t="n">
        <v>0.12</v>
      </c>
      <c r="E12" s="34" t="n">
        <v>22</v>
      </c>
      <c r="F12" s="66" t="n">
        <f aca="false">C12*E12</f>
        <v>1.54</v>
      </c>
      <c r="G12" s="18" t="s">
        <v>209</v>
      </c>
    </row>
    <row r="13" customFormat="false" ht="15" hidden="false" customHeight="false" outlineLevel="0" collapsed="false">
      <c r="B13" s="19" t="s">
        <v>210</v>
      </c>
      <c r="C13" s="31" t="n">
        <v>0.1</v>
      </c>
      <c r="D13" s="31" t="n">
        <v>0.18</v>
      </c>
      <c r="E13" s="33" t="n">
        <v>10</v>
      </c>
      <c r="F13" s="67" t="n">
        <f aca="false">C13*E13</f>
        <v>1</v>
      </c>
      <c r="G13" s="22" t="s">
        <v>211</v>
      </c>
    </row>
    <row r="14" customFormat="false" ht="15" hidden="false" customHeight="false" outlineLevel="0" collapsed="false">
      <c r="B14" s="15" t="s">
        <v>212</v>
      </c>
      <c r="C14" s="29" t="n">
        <v>0.05</v>
      </c>
      <c r="D14" s="29" t="n">
        <v>0.06</v>
      </c>
      <c r="E14" s="34" t="n">
        <v>25</v>
      </c>
      <c r="F14" s="66" t="n">
        <f aca="false">C14*E14</f>
        <v>1.25</v>
      </c>
      <c r="G14" s="18" t="s">
        <v>213</v>
      </c>
    </row>
    <row r="15" customFormat="false" ht="15" hidden="false" customHeight="false" outlineLevel="0" collapsed="false">
      <c r="B15" s="41" t="s">
        <v>214</v>
      </c>
      <c r="C15" s="68" t="n">
        <f aca="false">SUM(C8:C14)</f>
        <v>1</v>
      </c>
      <c r="D15" s="68" t="n">
        <f aca="false">SUM(D8:D14)</f>
        <v>1.1</v>
      </c>
      <c r="E15" s="69"/>
      <c r="F15" s="59" t="n">
        <f aca="false">SUM(F8:F14)</f>
        <v>20.65</v>
      </c>
      <c r="G15" s="70" t="s">
        <v>215</v>
      </c>
    </row>
    <row r="18" customFormat="false" ht="20.85" hidden="false" customHeight="true" outlineLevel="0" collapsed="false">
      <c r="B18" s="5" t="s">
        <v>216</v>
      </c>
      <c r="C18" s="5"/>
      <c r="D18" s="5"/>
      <c r="E18" s="5"/>
      <c r="F18" s="5"/>
      <c r="G18" s="5"/>
    </row>
    <row r="20" customFormat="false" ht="21.75" hidden="false" customHeight="true" outlineLevel="0" collapsed="false">
      <c r="B20" s="12" t="s">
        <v>217</v>
      </c>
      <c r="C20" s="12" t="s">
        <v>85</v>
      </c>
      <c r="D20" s="12" t="s">
        <v>86</v>
      </c>
      <c r="E20" s="12" t="s">
        <v>87</v>
      </c>
      <c r="F20" s="12" t="s">
        <v>88</v>
      </c>
      <c r="G20" s="12" t="s">
        <v>89</v>
      </c>
    </row>
    <row r="21" customFormat="false" ht="15" hidden="false" customHeight="false" outlineLevel="0" collapsed="false">
      <c r="B21" s="15" t="s">
        <v>91</v>
      </c>
      <c r="C21" s="71" t="n">
        <f aca="false">INDEX(Assumptions!$C$32:$G$32,1,1)</f>
        <v>12000</v>
      </c>
      <c r="D21" s="71" t="n">
        <f aca="false">INDEX(Assumptions!$C$32:$G$32,1,2)</f>
        <v>36000</v>
      </c>
      <c r="E21" s="71" t="n">
        <f aca="false">INDEX(Assumptions!$C$32:$G$32,1,3)</f>
        <v>90000</v>
      </c>
      <c r="F21" s="71" t="n">
        <f aca="false">INDEX(Assumptions!$C$32:$G$32,1,4)</f>
        <v>180000</v>
      </c>
      <c r="G21" s="71" t="n">
        <f aca="false">INDEX(Assumptions!$C$32:$G$32,1,5)</f>
        <v>320000</v>
      </c>
    </row>
    <row r="22" customFormat="false" ht="15" hidden="false" customHeight="false" outlineLevel="0" collapsed="false">
      <c r="B22" s="19" t="s">
        <v>99</v>
      </c>
      <c r="C22" s="64" t="n">
        <f aca="false">INDEX(Assumptions!$C$36:$G$36,1,1)</f>
        <v>18</v>
      </c>
      <c r="D22" s="64" t="n">
        <f aca="false">INDEX(Assumptions!$C$36:$G$36,1,2)</f>
        <v>22</v>
      </c>
      <c r="E22" s="64" t="n">
        <f aca="false">INDEX(Assumptions!$C$36:$G$36,1,3)</f>
        <v>25</v>
      </c>
      <c r="F22" s="64" t="n">
        <f aca="false">INDEX(Assumptions!$C$36:$G$36,1,4)</f>
        <v>24</v>
      </c>
      <c r="G22" s="64" t="n">
        <f aca="false">INDEX(Assumptions!$C$36:$G$36,1,5)</f>
        <v>22</v>
      </c>
    </row>
    <row r="23" customFormat="false" ht="15" hidden="false" customHeight="false" outlineLevel="0" collapsed="false">
      <c r="B23" s="41" t="s">
        <v>218</v>
      </c>
      <c r="C23" s="69" t="n">
        <f aca="false">INDEX(Assumptions!$C$32:$G$32,1,1)*INDEX(Assumptions!$C$36:$G$36,1,1)</f>
        <v>216000</v>
      </c>
      <c r="D23" s="69" t="n">
        <f aca="false">INDEX(Assumptions!$C$32:$G$32,1,2)*INDEX(Assumptions!$C$36:$G$36,1,2)</f>
        <v>792000</v>
      </c>
      <c r="E23" s="69" t="n">
        <f aca="false">INDEX(Assumptions!$C$32:$G$32,1,3)*INDEX(Assumptions!$C$36:$G$36,1,3)</f>
        <v>2250000</v>
      </c>
      <c r="F23" s="69" t="n">
        <f aca="false">INDEX(Assumptions!$C$32:$G$32,1,4)*INDEX(Assumptions!$C$36:$G$36,1,4)</f>
        <v>4320000</v>
      </c>
      <c r="G23" s="69" t="n">
        <f aca="false">INDEX(Assumptions!$C$32:$G$32,1,5)*INDEX(Assumptions!$C$36:$G$36,1,5)</f>
        <v>7040000</v>
      </c>
    </row>
  </sheetData>
  <mergeCells count="3">
    <mergeCell ref="B3:G3"/>
    <mergeCell ref="B4:G4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" t="s">
        <v>219</v>
      </c>
    </row>
    <row r="3" customFormat="false" ht="30.55" hidden="false" customHeight="true" outlineLevel="0" collapsed="false">
      <c r="B3" s="2" t="s">
        <v>220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B4" s="3" t="s">
        <v>221</v>
      </c>
      <c r="C4" s="3"/>
      <c r="D4" s="3"/>
      <c r="E4" s="3"/>
      <c r="F4" s="3"/>
      <c r="G4" s="3"/>
      <c r="H4" s="3"/>
    </row>
    <row r="5" customFormat="false" ht="3.75" hidden="false" customHeight="true" outlineLevel="0" collapsed="false">
      <c r="B5" s="4"/>
      <c r="C5" s="4"/>
      <c r="D5" s="4"/>
      <c r="E5" s="4"/>
      <c r="F5" s="4"/>
      <c r="G5" s="4"/>
      <c r="H5" s="4"/>
    </row>
    <row r="7" customFormat="false" ht="25.5" hidden="false" customHeight="true" outlineLevel="0" collapsed="false">
      <c r="B7" s="12" t="s">
        <v>222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223</v>
      </c>
    </row>
    <row r="8" customFormat="false" ht="15" hidden="false" customHeight="false" outlineLevel="0" collapsed="false">
      <c r="B8" s="13" t="s">
        <v>224</v>
      </c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B9" s="19" t="s">
        <v>91</v>
      </c>
      <c r="C9" s="72" t="n">
        <f aca="false">INDEX(Assumptions!$C$32:$G$32,1,1)</f>
        <v>12000</v>
      </c>
      <c r="D9" s="72" t="n">
        <f aca="false">INDEX(Assumptions!$C$32:$G$32,1,2)</f>
        <v>36000</v>
      </c>
      <c r="E9" s="72" t="n">
        <f aca="false">INDEX(Assumptions!$C$32:$G$32,1,3)</f>
        <v>90000</v>
      </c>
      <c r="F9" s="72" t="n">
        <f aca="false">INDEX(Assumptions!$C$32:$G$32,1,4)</f>
        <v>180000</v>
      </c>
      <c r="G9" s="72" t="n">
        <f aca="false">INDEX(Assumptions!$C$32:$G$32,1,5)</f>
        <v>320000</v>
      </c>
      <c r="H9" s="73" t="n">
        <f aca="false">SUM(C9:G9)</f>
        <v>638000</v>
      </c>
    </row>
    <row r="10" customFormat="false" ht="23.85" hidden="false" customHeight="false" outlineLevel="0" collapsed="false">
      <c r="B10" s="15" t="s">
        <v>225</v>
      </c>
      <c r="C10" s="71" t="n">
        <f aca="false">INDEX(Assumptions!$C$32:$G$32,1,1)*INDEX(Assumptions!$C$33:$G$33,1,1)*INDEX(Assumptions!$C$34:$G$34,1,1)</f>
        <v>4224</v>
      </c>
      <c r="D10" s="71" t="n">
        <f aca="false">INDEX(Assumptions!$C$32:$G$32,1,2)*INDEX(Assumptions!$C$33:$G$33,1,2)*INDEX(Assumptions!$C$34:$G$34,1,2)</f>
        <v>20520</v>
      </c>
      <c r="E10" s="71" t="n">
        <f aca="false">INDEX(Assumptions!$C$32:$G$32,1,3)*INDEX(Assumptions!$C$33:$G$33,1,3)*INDEX(Assumptions!$C$34:$G$34,1,3)</f>
        <v>75240</v>
      </c>
      <c r="F10" s="71" t="n">
        <f aca="false">INDEX(Assumptions!$C$32:$G$32,1,4)*INDEX(Assumptions!$C$33:$G$33,1,4)*INDEX(Assumptions!$C$34:$G$34,1,4)</f>
        <v>181440</v>
      </c>
      <c r="G10" s="71" t="n">
        <f aca="false">INDEX(Assumptions!$C$32:$G$32,1,5)*INDEX(Assumptions!$C$33:$G$33,1,5)*INDEX(Assumptions!$C$34:$G$34,1,5)</f>
        <v>360000</v>
      </c>
      <c r="H10" s="73" t="n">
        <f aca="false">SUM(C10:G10)</f>
        <v>641424</v>
      </c>
    </row>
    <row r="11" customFormat="false" ht="15" hidden="false" customHeight="false" outlineLevel="0" collapsed="false">
      <c r="B11" s="41" t="s">
        <v>226</v>
      </c>
      <c r="C11" s="74" t="n">
        <f aca="false">C9+C10</f>
        <v>16224</v>
      </c>
      <c r="D11" s="74" t="n">
        <f aca="false">D9+D10</f>
        <v>56520</v>
      </c>
      <c r="E11" s="74" t="n">
        <f aca="false">E9+E10</f>
        <v>165240</v>
      </c>
      <c r="F11" s="74" t="n">
        <f aca="false">F9+F10</f>
        <v>361440</v>
      </c>
      <c r="G11" s="74" t="n">
        <f aca="false">G9+G10</f>
        <v>680000</v>
      </c>
      <c r="H11" s="74" t="n">
        <f aca="false">SUM(C11:G11)</f>
        <v>1279424</v>
      </c>
    </row>
    <row r="13" customFormat="false" ht="15" hidden="false" customHeight="false" outlineLevel="0" collapsed="false">
      <c r="B13" s="13" t="s">
        <v>227</v>
      </c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B14" s="15" t="s">
        <v>228</v>
      </c>
      <c r="C14" s="63" t="n">
        <f aca="false">INDEX(Assumptions!$C$35:$G$35,1,1)</f>
        <v>58</v>
      </c>
      <c r="D14" s="63" t="n">
        <f aca="false">INDEX(Assumptions!$C$35:$G$35,1,2)</f>
        <v>62</v>
      </c>
      <c r="E14" s="63" t="n">
        <f aca="false">INDEX(Assumptions!$C$35:$G$35,1,3)</f>
        <v>65</v>
      </c>
      <c r="F14" s="63" t="n">
        <f aca="false">INDEX(Assumptions!$C$35:$G$35,1,4)</f>
        <v>68</v>
      </c>
      <c r="G14" s="63" t="n">
        <f aca="false">INDEX(Assumptions!$C$35:$G$35,1,5)</f>
        <v>72</v>
      </c>
      <c r="H14" s="36" t="n">
        <f aca="false">SUM(C14:G14)</f>
        <v>325</v>
      </c>
    </row>
    <row r="15" customFormat="false" ht="15" hidden="false" customHeight="false" outlineLevel="0" collapsed="false">
      <c r="B15" s="41" t="s">
        <v>229</v>
      </c>
      <c r="C15" s="69" t="n">
        <f aca="false">C11*C14</f>
        <v>940992</v>
      </c>
      <c r="D15" s="69" t="n">
        <f aca="false">D11*D14</f>
        <v>3504240</v>
      </c>
      <c r="E15" s="69" t="n">
        <f aca="false">E11*E14</f>
        <v>10740600</v>
      </c>
      <c r="F15" s="69" t="n">
        <f aca="false">F11*F14</f>
        <v>24577920</v>
      </c>
      <c r="G15" s="69" t="n">
        <f aca="false">G11*G14</f>
        <v>48960000</v>
      </c>
      <c r="H15" s="69" t="n">
        <f aca="false">SUM(C15:G15)</f>
        <v>88723752</v>
      </c>
    </row>
    <row r="17" customFormat="false" ht="15" hidden="false" customHeight="false" outlineLevel="0" collapsed="false">
      <c r="B17" s="13" t="s">
        <v>230</v>
      </c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B18" s="15" t="s">
        <v>231</v>
      </c>
      <c r="C18" s="63" t="n">
        <f aca="false">C15*0.2</f>
        <v>188198.4</v>
      </c>
      <c r="D18" s="63" t="n">
        <f aca="false">D15*0.19</f>
        <v>665805.6</v>
      </c>
      <c r="E18" s="63" t="n">
        <f aca="false">E15*0.18</f>
        <v>1933308</v>
      </c>
      <c r="F18" s="63" t="n">
        <f aca="false">F15*0.17</f>
        <v>4178246.4</v>
      </c>
      <c r="G18" s="63" t="n">
        <f aca="false">G15*0.16</f>
        <v>7833600</v>
      </c>
      <c r="H18" s="36" t="n">
        <f aca="false">SUM(C18:G18)</f>
        <v>14799158.4</v>
      </c>
    </row>
    <row r="19" customFormat="false" ht="15" hidden="false" customHeight="false" outlineLevel="0" collapsed="false">
      <c r="B19" s="19" t="s">
        <v>232</v>
      </c>
      <c r="C19" s="64" t="n">
        <f aca="false">C15*0.15</f>
        <v>141148.8</v>
      </c>
      <c r="D19" s="64" t="n">
        <f aca="false">D15*0.14</f>
        <v>490593.6</v>
      </c>
      <c r="E19" s="64" t="n">
        <f aca="false">E15*0.13</f>
        <v>1396278</v>
      </c>
      <c r="F19" s="64" t="n">
        <f aca="false">F15*0.12</f>
        <v>2949350.4</v>
      </c>
      <c r="G19" s="64" t="n">
        <f aca="false">G15*0.11</f>
        <v>5385600</v>
      </c>
      <c r="H19" s="36" t="n">
        <f aca="false">SUM(C19:G19)</f>
        <v>10362970.8</v>
      </c>
    </row>
    <row r="20" customFormat="false" ht="15" hidden="false" customHeight="false" outlineLevel="0" collapsed="false">
      <c r="B20" s="15" t="s">
        <v>233</v>
      </c>
      <c r="C20" s="63" t="n">
        <f aca="false">C15*0.07</f>
        <v>65869.44</v>
      </c>
      <c r="D20" s="63" t="n">
        <f aca="false">D15*0.07</f>
        <v>245296.8</v>
      </c>
      <c r="E20" s="63" t="n">
        <f aca="false">E15*0.07</f>
        <v>751842</v>
      </c>
      <c r="F20" s="63" t="n">
        <f aca="false">F15*0.07</f>
        <v>1720454.4</v>
      </c>
      <c r="G20" s="63" t="n">
        <f aca="false">G15*0.07</f>
        <v>3427200</v>
      </c>
      <c r="H20" s="36" t="n">
        <f aca="false">SUM(C20:G20)</f>
        <v>6210662.64</v>
      </c>
    </row>
    <row r="21" customFormat="false" ht="15" hidden="false" customHeight="false" outlineLevel="0" collapsed="false">
      <c r="B21" s="19" t="s">
        <v>234</v>
      </c>
      <c r="C21" s="64" t="n">
        <f aca="false">C15*0.1</f>
        <v>94099.2</v>
      </c>
      <c r="D21" s="64" t="n">
        <f aca="false">D15*0.1</f>
        <v>350424</v>
      </c>
      <c r="E21" s="64" t="n">
        <f aca="false">E15*0.09</f>
        <v>966654</v>
      </c>
      <c r="F21" s="64" t="n">
        <f aca="false">F15*0.09</f>
        <v>2212012.8</v>
      </c>
      <c r="G21" s="64" t="n">
        <f aca="false">G15*0.09</f>
        <v>4406400</v>
      </c>
      <c r="H21" s="36" t="n">
        <f aca="false">SUM(C21:G21)</f>
        <v>8029590</v>
      </c>
    </row>
    <row r="22" customFormat="false" ht="15" hidden="false" customHeight="false" outlineLevel="0" collapsed="false">
      <c r="B22" s="15" t="s">
        <v>235</v>
      </c>
      <c r="C22" s="63" t="n">
        <f aca="false">C15*0.04</f>
        <v>37639.68</v>
      </c>
      <c r="D22" s="63" t="n">
        <f aca="false">D15*0.03</f>
        <v>105127.2</v>
      </c>
      <c r="E22" s="63" t="n">
        <f aca="false">E15*0.02</f>
        <v>214812</v>
      </c>
      <c r="F22" s="63" t="n">
        <f aca="false">F15*0.01</f>
        <v>245779.2</v>
      </c>
      <c r="G22" s="63" t="n">
        <f aca="false">G15*0.01</f>
        <v>489600</v>
      </c>
      <c r="H22" s="36" t="n">
        <f aca="false">SUM(C22:G22)</f>
        <v>1092958.08</v>
      </c>
    </row>
    <row r="23" customFormat="false" ht="15" hidden="false" customHeight="false" outlineLevel="0" collapsed="false">
      <c r="B23" s="41" t="s">
        <v>236</v>
      </c>
      <c r="C23" s="69" t="n">
        <f aca="false">SUM(C18:C22)</f>
        <v>526955.52</v>
      </c>
      <c r="D23" s="69" t="n">
        <f aca="false">SUM(D18:D22)</f>
        <v>1857247.2</v>
      </c>
      <c r="E23" s="69" t="n">
        <f aca="false">SUM(E18:E22)</f>
        <v>5262894</v>
      </c>
      <c r="F23" s="69" t="n">
        <f aca="false">SUM(F18:F22)</f>
        <v>11305843.2</v>
      </c>
      <c r="G23" s="69" t="n">
        <f aca="false">SUM(G18:G22)</f>
        <v>21542400</v>
      </c>
      <c r="H23" s="69" t="n">
        <f aca="false">SUM(C23:G23)</f>
        <v>40495339.92</v>
      </c>
    </row>
    <row r="24" customFormat="false" ht="15" hidden="false" customHeight="false" outlineLevel="0" collapsed="false">
      <c r="B24" s="41" t="s">
        <v>173</v>
      </c>
      <c r="C24" s="69" t="n">
        <f aca="false">C15-C23</f>
        <v>414036.48</v>
      </c>
      <c r="D24" s="69" t="n">
        <f aca="false">D15-D23</f>
        <v>1646992.8</v>
      </c>
      <c r="E24" s="69" t="n">
        <f aca="false">E15-E23</f>
        <v>5477706</v>
      </c>
      <c r="F24" s="69" t="n">
        <f aca="false">F15-F23</f>
        <v>13272076.8</v>
      </c>
      <c r="G24" s="69" t="n">
        <f aca="false">G15-G23</f>
        <v>27417600</v>
      </c>
      <c r="H24" s="69" t="n">
        <f aca="false">SUM(C24:G24)</f>
        <v>48228412.08</v>
      </c>
    </row>
    <row r="25" customFormat="false" ht="15" hidden="false" customHeight="false" outlineLevel="0" collapsed="false">
      <c r="B25" s="19" t="s">
        <v>237</v>
      </c>
      <c r="C25" s="58" t="n">
        <f aca="false">C24/C15</f>
        <v>0.44</v>
      </c>
      <c r="D25" s="58" t="n">
        <f aca="false">D24/D15</f>
        <v>0.47</v>
      </c>
      <c r="E25" s="58" t="n">
        <f aca="false">E24/E15</f>
        <v>0.51</v>
      </c>
      <c r="F25" s="58" t="n">
        <f aca="false">F24/F15</f>
        <v>0.54</v>
      </c>
      <c r="G25" s="58" t="n">
        <f aca="false">G24/G15</f>
        <v>0.56</v>
      </c>
      <c r="H25" s="60" t="n">
        <f aca="false">SUM(C25:G25)</f>
        <v>2.52</v>
      </c>
    </row>
    <row r="27" customFormat="false" ht="15" hidden="false" customHeight="false" outlineLevel="0" collapsed="false">
      <c r="B27" s="13" t="s">
        <v>238</v>
      </c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B28" s="15" t="s">
        <v>239</v>
      </c>
      <c r="C28" s="63" t="n">
        <f aca="false">C9*INDEX(Assumptions!$C$36:$G$36,1,1)</f>
        <v>216000</v>
      </c>
      <c r="D28" s="63" t="n">
        <f aca="false">D9*INDEX(Assumptions!$C$36:$G$36,1,2)</f>
        <v>792000</v>
      </c>
      <c r="E28" s="63" t="n">
        <f aca="false">E9*INDEX(Assumptions!$C$36:$G$36,1,3)</f>
        <v>2250000</v>
      </c>
      <c r="F28" s="63" t="n">
        <f aca="false">F9*INDEX(Assumptions!$C$36:$G$36,1,4)</f>
        <v>4320000</v>
      </c>
      <c r="G28" s="63" t="n">
        <f aca="false">G9*INDEX(Assumptions!$C$36:$G$36,1,5)</f>
        <v>7040000</v>
      </c>
      <c r="H28" s="36" t="n">
        <f aca="false">SUM(C28:G28)</f>
        <v>14618000</v>
      </c>
    </row>
    <row r="29" customFormat="false" ht="15" hidden="false" customHeight="false" outlineLevel="0" collapsed="false">
      <c r="B29" s="19" t="s">
        <v>240</v>
      </c>
      <c r="C29" s="64" t="n">
        <f aca="false">INDEX(Assumptions!$C$41:$G$41,1,1)*1000</f>
        <v>650000</v>
      </c>
      <c r="D29" s="64" t="n">
        <f aca="false">INDEX(Assumptions!$C$41:$G$41,1,2)*1000</f>
        <v>950000</v>
      </c>
      <c r="E29" s="64" t="n">
        <f aca="false">INDEX(Assumptions!$C$41:$G$41,1,3)*1000</f>
        <v>1500000</v>
      </c>
      <c r="F29" s="64" t="n">
        <f aca="false">INDEX(Assumptions!$C$41:$G$41,1,4)*1000</f>
        <v>2400000</v>
      </c>
      <c r="G29" s="64" t="n">
        <f aca="false">INDEX(Assumptions!$C$41:$G$41,1,5)*1000</f>
        <v>3600000</v>
      </c>
      <c r="H29" s="36" t="n">
        <f aca="false">SUM(C29:G29)</f>
        <v>9100000</v>
      </c>
    </row>
    <row r="30" customFormat="false" ht="15" hidden="false" customHeight="false" outlineLevel="0" collapsed="false">
      <c r="B30" s="15" t="s">
        <v>241</v>
      </c>
      <c r="C30" s="63" t="n">
        <f aca="false">INDEX(Assumptions!$C$42:$G$42,1,1)*1000</f>
        <v>400000</v>
      </c>
      <c r="D30" s="63" t="n">
        <f aca="false">INDEX(Assumptions!$C$42:$G$42,1,2)*1000</f>
        <v>600000</v>
      </c>
      <c r="E30" s="63" t="n">
        <f aca="false">INDEX(Assumptions!$C$42:$G$42,1,3)*1000</f>
        <v>950000</v>
      </c>
      <c r="F30" s="63" t="n">
        <f aca="false">INDEX(Assumptions!$C$42:$G$42,1,4)*1000</f>
        <v>1700000</v>
      </c>
      <c r="G30" s="63" t="n">
        <f aca="false">INDEX(Assumptions!$C$42:$G$42,1,5)*1000</f>
        <v>2900000</v>
      </c>
      <c r="H30" s="36" t="n">
        <f aca="false">SUM(C30:G30)</f>
        <v>6550000</v>
      </c>
    </row>
    <row r="31" customFormat="false" ht="15" hidden="false" customHeight="false" outlineLevel="0" collapsed="false">
      <c r="B31" s="19" t="s">
        <v>242</v>
      </c>
      <c r="C31" s="64" t="n">
        <f aca="false">INDEX(Assumptions!$C$43:$G$43,1,1)*1000</f>
        <v>250000</v>
      </c>
      <c r="D31" s="64" t="n">
        <f aca="false">INDEX(Assumptions!$C$43:$G$43,1,2)*1000</f>
        <v>320000</v>
      </c>
      <c r="E31" s="64" t="n">
        <f aca="false">INDEX(Assumptions!$C$43:$G$43,1,3)*1000</f>
        <v>450000</v>
      </c>
      <c r="F31" s="64" t="n">
        <f aca="false">INDEX(Assumptions!$C$43:$G$43,1,4)*1000</f>
        <v>700000</v>
      </c>
      <c r="G31" s="64" t="n">
        <f aca="false">INDEX(Assumptions!$C$43:$G$43,1,5)*1000</f>
        <v>1100000</v>
      </c>
      <c r="H31" s="36" t="n">
        <f aca="false">SUM(C31:G31)</f>
        <v>2820000</v>
      </c>
    </row>
    <row r="32" customFormat="false" ht="15" hidden="false" customHeight="false" outlineLevel="0" collapsed="false">
      <c r="B32" s="15" t="s">
        <v>243</v>
      </c>
      <c r="C32" s="63" t="n">
        <f aca="false">INDEX(Assumptions!$C$44:$G$44,1,1)*1000</f>
        <v>150000</v>
      </c>
      <c r="D32" s="63" t="n">
        <f aca="false">INDEX(Assumptions!$C$44:$G$44,1,2)*1000</f>
        <v>250000</v>
      </c>
      <c r="E32" s="63" t="n">
        <f aca="false">INDEX(Assumptions!$C$44:$G$44,1,3)*1000</f>
        <v>400000</v>
      </c>
      <c r="F32" s="63" t="n">
        <f aca="false">INDEX(Assumptions!$C$44:$G$44,1,4)*1000</f>
        <v>700000</v>
      </c>
      <c r="G32" s="63" t="n">
        <f aca="false">INDEX(Assumptions!$C$44:$G$44,1,5)*1000</f>
        <v>1100000</v>
      </c>
      <c r="H32" s="36" t="n">
        <f aca="false">SUM(C32:G32)</f>
        <v>2600000</v>
      </c>
    </row>
    <row r="33" customFormat="false" ht="15" hidden="false" customHeight="false" outlineLevel="0" collapsed="false">
      <c r="B33" s="19" t="s">
        <v>244</v>
      </c>
      <c r="C33" s="64" t="n">
        <f aca="false">INDEX(Assumptions!$C$45:$G$45,1,1)*1000</f>
        <v>100000</v>
      </c>
      <c r="D33" s="64" t="n">
        <f aca="false">INDEX(Assumptions!$C$45:$G$45,1,2)*1000</f>
        <v>130000</v>
      </c>
      <c r="E33" s="64" t="n">
        <f aca="false">INDEX(Assumptions!$C$45:$G$45,1,3)*1000</f>
        <v>180000</v>
      </c>
      <c r="F33" s="64" t="n">
        <f aca="false">INDEX(Assumptions!$C$45:$G$45,1,4)*1000</f>
        <v>350000</v>
      </c>
      <c r="G33" s="64" t="n">
        <f aca="false">INDEX(Assumptions!$C$45:$G$45,1,5)*1000</f>
        <v>500000</v>
      </c>
      <c r="H33" s="36" t="n">
        <f aca="false">SUM(C33:G33)</f>
        <v>1260000</v>
      </c>
    </row>
    <row r="34" customFormat="false" ht="15" hidden="false" customHeight="false" outlineLevel="0" collapsed="false">
      <c r="B34" s="41" t="s">
        <v>245</v>
      </c>
      <c r="C34" s="69" t="n">
        <f aca="false">C28+SUM(C29:C33)</f>
        <v>1766000</v>
      </c>
      <c r="D34" s="69" t="n">
        <f aca="false">D28+SUM(D29:D33)</f>
        <v>3042000</v>
      </c>
      <c r="E34" s="69" t="n">
        <f aca="false">E28+SUM(E29:E33)</f>
        <v>5730000</v>
      </c>
      <c r="F34" s="69" t="n">
        <f aca="false">F28+SUM(F29:F33)</f>
        <v>10170000</v>
      </c>
      <c r="G34" s="69" t="n">
        <f aca="false">G28+SUM(G29:G33)</f>
        <v>16240000</v>
      </c>
      <c r="H34" s="69" t="n">
        <f aca="false">SUM(C34:G34)</f>
        <v>36948000</v>
      </c>
    </row>
    <row r="36" customFormat="false" ht="15" hidden="false" customHeight="false" outlineLevel="0" collapsed="false">
      <c r="B36" s="13" t="s">
        <v>246</v>
      </c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B37" s="41" t="s">
        <v>247</v>
      </c>
      <c r="C37" s="69" t="n">
        <f aca="false">C24-C34</f>
        <v>-1351963.52</v>
      </c>
      <c r="D37" s="69" t="n">
        <f aca="false">D24-D34</f>
        <v>-1395007.2</v>
      </c>
      <c r="E37" s="69" t="n">
        <f aca="false">E24-E34</f>
        <v>-252294</v>
      </c>
      <c r="F37" s="69" t="n">
        <f aca="false">F24-F34</f>
        <v>3102076.8</v>
      </c>
      <c r="G37" s="69" t="n">
        <f aca="false">G24-G34</f>
        <v>11177600</v>
      </c>
      <c r="H37" s="69" t="n">
        <f aca="false">SUM(C37:G37)</f>
        <v>11280412.08</v>
      </c>
    </row>
    <row r="38" customFormat="false" ht="15" hidden="false" customHeight="false" outlineLevel="0" collapsed="false">
      <c r="B38" s="15" t="s">
        <v>248</v>
      </c>
      <c r="C38" s="56" t="n">
        <f aca="false">C37/C15</f>
        <v>-1.43674284159695</v>
      </c>
      <c r="D38" s="56" t="n">
        <f aca="false">D37/D15</f>
        <v>-0.398091226628313</v>
      </c>
      <c r="E38" s="56" t="n">
        <f aca="false">E37/E15</f>
        <v>-0.0234897491760237</v>
      </c>
      <c r="F38" s="56" t="n">
        <f aca="false">F37/F15</f>
        <v>0.126213967658777</v>
      </c>
      <c r="G38" s="56" t="n">
        <f aca="false">G37/G15</f>
        <v>0.228300653594771</v>
      </c>
      <c r="H38" s="60" t="n">
        <f aca="false">SUM(C38:G38)</f>
        <v>-1.50380919614774</v>
      </c>
    </row>
    <row r="39" customFormat="false" ht="15" hidden="false" customHeight="false" outlineLevel="0" collapsed="false">
      <c r="B39" s="19" t="s">
        <v>249</v>
      </c>
      <c r="C39" s="64" t="n">
        <f aca="false">C37</f>
        <v>-1351963.52</v>
      </c>
      <c r="D39" s="64" t="n">
        <f aca="false">C39+D37</f>
        <v>-2746970.72</v>
      </c>
      <c r="E39" s="64" t="n">
        <f aca="false">D39+E37</f>
        <v>-2999264.72</v>
      </c>
      <c r="F39" s="64" t="n">
        <f aca="false">E39+F37</f>
        <v>102812.080000001</v>
      </c>
      <c r="G39" s="64" t="n">
        <f aca="false">F39+G37</f>
        <v>11280412.08</v>
      </c>
      <c r="H39" s="36" t="n">
        <f aca="false">G39</f>
        <v>11280412.08</v>
      </c>
    </row>
  </sheetData>
  <mergeCells count="2">
    <mergeCell ref="B3:H3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2:G52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4"/>
  </cols>
  <sheetData>
    <row r="2" customFormat="false" ht="15" hidden="false" customHeight="false" outlineLevel="0" collapsed="false">
      <c r="B2" s="1" t="s">
        <v>250</v>
      </c>
    </row>
    <row r="3" customFormat="false" ht="30.55" hidden="false" customHeight="true" outlineLevel="0" collapsed="false">
      <c r="B3" s="2" t="s">
        <v>14</v>
      </c>
      <c r="C3" s="2"/>
      <c r="D3" s="2"/>
      <c r="E3" s="2"/>
      <c r="F3" s="2"/>
      <c r="G3" s="2"/>
    </row>
    <row r="4" customFormat="false" ht="15" hidden="false" customHeight="true" outlineLevel="0" collapsed="false">
      <c r="B4" s="3" t="s">
        <v>251</v>
      </c>
      <c r="C4" s="3"/>
      <c r="D4" s="3"/>
      <c r="E4" s="3"/>
      <c r="F4" s="3"/>
      <c r="G4" s="3"/>
    </row>
    <row r="5" customFormat="false" ht="3.75" hidden="false" customHeight="true" outlineLevel="0" collapsed="false">
      <c r="B5" s="4"/>
      <c r="C5" s="4"/>
      <c r="D5" s="4"/>
      <c r="E5" s="4"/>
      <c r="F5" s="4"/>
      <c r="G5" s="4"/>
    </row>
    <row r="7" customFormat="false" ht="20.85" hidden="false" customHeight="true" outlineLevel="0" collapsed="false">
      <c r="B7" s="5" t="s">
        <v>252</v>
      </c>
      <c r="C7" s="5"/>
      <c r="D7" s="5"/>
      <c r="E7" s="5"/>
      <c r="F7" s="5"/>
      <c r="G7" s="5"/>
    </row>
    <row r="9" customFormat="false" ht="15" hidden="false" customHeight="false" outlineLevel="0" collapsed="false">
      <c r="B9" s="12" t="s">
        <v>184</v>
      </c>
      <c r="C9" s="12" t="s">
        <v>85</v>
      </c>
      <c r="D9" s="12" t="s">
        <v>86</v>
      </c>
      <c r="E9" s="12" t="s">
        <v>87</v>
      </c>
      <c r="F9" s="12" t="s">
        <v>88</v>
      </c>
      <c r="G9" s="12" t="s">
        <v>89</v>
      </c>
    </row>
    <row r="10" customFormat="false" ht="15" hidden="false" customHeight="false" outlineLevel="0" collapsed="false">
      <c r="B10" s="52" t="s">
        <v>253</v>
      </c>
      <c r="C10" s="75" t="n">
        <f aca="false">Revenue_Forecast!C15/1000000</f>
        <v>0.940992</v>
      </c>
      <c r="D10" s="75" t="n">
        <f aca="false">Revenue_Forecast!D15/1000000</f>
        <v>3.50424</v>
      </c>
      <c r="E10" s="75" t="n">
        <f aca="false">Revenue_Forecast!E15/1000000</f>
        <v>10.7406</v>
      </c>
      <c r="F10" s="75" t="n">
        <f aca="false">Revenue_Forecast!F15/1000000</f>
        <v>24.57792</v>
      </c>
      <c r="G10" s="75" t="n">
        <f aca="false">Revenue_Forecast!G15/1000000</f>
        <v>48.96</v>
      </c>
    </row>
    <row r="11" customFormat="false" ht="15" hidden="false" customHeight="false" outlineLevel="0" collapsed="false">
      <c r="B11" s="43" t="s">
        <v>254</v>
      </c>
      <c r="C11" s="76" t="n">
        <f aca="false">Revenue_Forecast!C37/1000000</f>
        <v>-1.35196352</v>
      </c>
      <c r="D11" s="76" t="n">
        <f aca="false">Revenue_Forecast!D37/1000000</f>
        <v>-1.3950072</v>
      </c>
      <c r="E11" s="76" t="n">
        <f aca="false">Revenue_Forecast!E37/1000000</f>
        <v>-0.252294</v>
      </c>
      <c r="F11" s="76" t="n">
        <f aca="false">Revenue_Forecast!F37/1000000</f>
        <v>3.1020768</v>
      </c>
      <c r="G11" s="76" t="n">
        <f aca="false">Revenue_Forecast!G37/1000000</f>
        <v>11.1776</v>
      </c>
    </row>
    <row r="35" customFormat="false" ht="20.85" hidden="false" customHeight="true" outlineLevel="0" collapsed="false">
      <c r="B35" s="5" t="s">
        <v>255</v>
      </c>
      <c r="C35" s="5"/>
      <c r="D35" s="5"/>
      <c r="E35" s="5"/>
      <c r="F35" s="5"/>
      <c r="G35" s="5"/>
    </row>
    <row r="37" customFormat="false" ht="15" hidden="false" customHeight="false" outlineLevel="0" collapsed="false">
      <c r="B37" s="12" t="s">
        <v>194</v>
      </c>
      <c r="C37" s="12" t="s">
        <v>195</v>
      </c>
      <c r="D37" s="12" t="s">
        <v>196</v>
      </c>
    </row>
    <row r="38" customFormat="false" ht="15" hidden="false" customHeight="false" outlineLevel="0" collapsed="false">
      <c r="B38" s="15" t="s">
        <v>200</v>
      </c>
      <c r="C38" s="56" t="n">
        <f aca="false">Acquisition_Mix!C8</f>
        <v>0.2</v>
      </c>
      <c r="D38" s="56" t="n">
        <f aca="false">Acquisition_Mix!D8</f>
        <v>0.16</v>
      </c>
    </row>
    <row r="39" customFormat="false" ht="23.85" hidden="false" customHeight="false" outlineLevel="0" collapsed="false">
      <c r="B39" s="19" t="s">
        <v>202</v>
      </c>
      <c r="C39" s="58" t="n">
        <f aca="false">Acquisition_Mix!C9</f>
        <v>0.1</v>
      </c>
      <c r="D39" s="58" t="n">
        <f aca="false">Acquisition_Mix!D9</f>
        <v>0.14</v>
      </c>
    </row>
    <row r="40" customFormat="false" ht="15" hidden="false" customHeight="false" outlineLevel="0" collapsed="false">
      <c r="B40" s="15" t="s">
        <v>204</v>
      </c>
      <c r="C40" s="56" t="n">
        <f aca="false">Acquisition_Mix!C10</f>
        <v>0.08</v>
      </c>
      <c r="D40" s="56" t="n">
        <f aca="false">Acquisition_Mix!D10</f>
        <v>0.14</v>
      </c>
    </row>
    <row r="41" customFormat="false" ht="15" hidden="false" customHeight="false" outlineLevel="0" collapsed="false">
      <c r="B41" s="19" t="s">
        <v>206</v>
      </c>
      <c r="C41" s="58" t="n">
        <f aca="false">Acquisition_Mix!C11</f>
        <v>0.4</v>
      </c>
      <c r="D41" s="58" t="n">
        <f aca="false">Acquisition_Mix!D11</f>
        <v>0.3</v>
      </c>
    </row>
    <row r="42" customFormat="false" ht="15" hidden="false" customHeight="false" outlineLevel="0" collapsed="false">
      <c r="B42" s="15" t="s">
        <v>208</v>
      </c>
      <c r="C42" s="56" t="n">
        <f aca="false">Acquisition_Mix!C12</f>
        <v>0.07</v>
      </c>
      <c r="D42" s="56" t="n">
        <f aca="false">Acquisition_Mix!D12</f>
        <v>0.12</v>
      </c>
    </row>
    <row r="43" customFormat="false" ht="15" hidden="false" customHeight="false" outlineLevel="0" collapsed="false">
      <c r="B43" s="19" t="s">
        <v>210</v>
      </c>
      <c r="C43" s="58" t="n">
        <f aca="false">Acquisition_Mix!C13</f>
        <v>0.1</v>
      </c>
      <c r="D43" s="58" t="n">
        <f aca="false">Acquisition_Mix!D13</f>
        <v>0.18</v>
      </c>
    </row>
    <row r="44" customFormat="false" ht="15" hidden="false" customHeight="false" outlineLevel="0" collapsed="false">
      <c r="B44" s="15" t="s">
        <v>212</v>
      </c>
      <c r="C44" s="56" t="n">
        <f aca="false">Acquisition_Mix!C14</f>
        <v>0.05</v>
      </c>
      <c r="D44" s="56" t="n">
        <f aca="false">Acquisition_Mix!D14</f>
        <v>0.06</v>
      </c>
    </row>
    <row r="48" customFormat="false" ht="20.85" hidden="false" customHeight="true" outlineLevel="0" collapsed="false">
      <c r="B48" s="5" t="s">
        <v>256</v>
      </c>
      <c r="C48" s="5"/>
      <c r="D48" s="5"/>
      <c r="E48" s="5"/>
      <c r="F48" s="5"/>
      <c r="G48" s="5"/>
    </row>
    <row r="50" customFormat="false" ht="15" hidden="false" customHeight="false" outlineLevel="0" collapsed="false">
      <c r="B50" s="12" t="s">
        <v>184</v>
      </c>
      <c r="C50" s="12" t="s">
        <v>85</v>
      </c>
      <c r="D50" s="12" t="s">
        <v>86</v>
      </c>
      <c r="E50" s="12" t="s">
        <v>87</v>
      </c>
      <c r="F50" s="12" t="s">
        <v>88</v>
      </c>
      <c r="G50" s="12" t="s">
        <v>89</v>
      </c>
    </row>
    <row r="51" customFormat="false" ht="15" hidden="false" customHeight="false" outlineLevel="0" collapsed="false">
      <c r="B51" s="45" t="s">
        <v>257</v>
      </c>
      <c r="C51" s="77" t="n">
        <f aca="false">Revenue_Forecast!C25</f>
        <v>0.44</v>
      </c>
      <c r="D51" s="77" t="n">
        <f aca="false">Revenue_Forecast!D25</f>
        <v>0.47</v>
      </c>
      <c r="E51" s="77" t="n">
        <f aca="false">Revenue_Forecast!E25</f>
        <v>0.51</v>
      </c>
      <c r="F51" s="77" t="n">
        <f aca="false">Revenue_Forecast!F25</f>
        <v>0.54</v>
      </c>
      <c r="G51" s="77" t="n">
        <f aca="false">Revenue_Forecast!G25</f>
        <v>0.56</v>
      </c>
    </row>
    <row r="52" customFormat="false" ht="15" hidden="false" customHeight="false" outlineLevel="0" collapsed="false">
      <c r="B52" s="43" t="s">
        <v>258</v>
      </c>
      <c r="C52" s="58" t="n">
        <f aca="false">Revenue_Forecast!C38</f>
        <v>-1.43674284159695</v>
      </c>
      <c r="D52" s="58" t="n">
        <f aca="false">Revenue_Forecast!D38</f>
        <v>-0.398091226628313</v>
      </c>
      <c r="E52" s="58" t="n">
        <f aca="false">Revenue_Forecast!E38</f>
        <v>-0.0234897491760237</v>
      </c>
      <c r="F52" s="58" t="n">
        <f aca="false">Revenue_Forecast!F38</f>
        <v>0.126213967658777</v>
      </c>
      <c r="G52" s="58" t="n">
        <f aca="false">Revenue_Forecast!G38</f>
        <v>0.228300653594771</v>
      </c>
    </row>
  </sheetData>
  <mergeCells count="5">
    <mergeCell ref="B3:G3"/>
    <mergeCell ref="B4:G4"/>
    <mergeCell ref="B7:G7"/>
    <mergeCell ref="B35:G35"/>
    <mergeCell ref="B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5"/>
    <col collapsed="false" customWidth="true" hidden="false" outlineLevel="0" max="4" min="4" style="0" width="65"/>
    <col collapsed="false" customWidth="true" hidden="false" outlineLevel="0" max="5" min="5" style="0" width="18"/>
  </cols>
  <sheetData>
    <row r="2" customFormat="false" ht="15" hidden="false" customHeight="false" outlineLevel="0" collapsed="false">
      <c r="B2" s="1" t="s">
        <v>259</v>
      </c>
    </row>
    <row r="3" customFormat="false" ht="30.55" hidden="false" customHeight="true" outlineLevel="0" collapsed="false">
      <c r="B3" s="2" t="s">
        <v>260</v>
      </c>
      <c r="C3" s="2"/>
      <c r="D3" s="2"/>
      <c r="E3" s="2"/>
    </row>
    <row r="4" customFormat="false" ht="15" hidden="false" customHeight="true" outlineLevel="0" collapsed="false">
      <c r="B4" s="3" t="s">
        <v>261</v>
      </c>
      <c r="C4" s="3"/>
      <c r="D4" s="3"/>
      <c r="E4" s="3"/>
    </row>
    <row r="5" customFormat="false" ht="3.75" hidden="false" customHeight="true" outlineLevel="0" collapsed="false">
      <c r="B5" s="4"/>
      <c r="C5" s="4"/>
      <c r="D5" s="4"/>
      <c r="E5" s="4"/>
    </row>
    <row r="7" customFormat="false" ht="25.5" hidden="false" customHeight="true" outlineLevel="0" collapsed="false">
      <c r="B7" s="12" t="s">
        <v>262</v>
      </c>
      <c r="C7" s="12" t="s">
        <v>90</v>
      </c>
      <c r="D7" s="12" t="s">
        <v>263</v>
      </c>
      <c r="E7" s="12" t="s">
        <v>264</v>
      </c>
    </row>
    <row r="8" customFormat="false" ht="36" hidden="false" customHeight="true" outlineLevel="0" collapsed="false">
      <c r="B8" s="15" t="s">
        <v>265</v>
      </c>
      <c r="C8" s="52" t="s">
        <v>266</v>
      </c>
      <c r="D8" s="78" t="s">
        <v>267</v>
      </c>
      <c r="E8" s="79" t="s">
        <v>268</v>
      </c>
    </row>
    <row r="9" customFormat="false" ht="36" hidden="false" customHeight="true" outlineLevel="0" collapsed="false">
      <c r="B9" s="19" t="s">
        <v>269</v>
      </c>
      <c r="C9" s="43" t="s">
        <v>270</v>
      </c>
      <c r="D9" s="80" t="s">
        <v>271</v>
      </c>
      <c r="E9" s="81" t="s">
        <v>268</v>
      </c>
    </row>
    <row r="10" customFormat="false" ht="36" hidden="false" customHeight="true" outlineLevel="0" collapsed="false">
      <c r="B10" s="15" t="s">
        <v>272</v>
      </c>
      <c r="C10" s="52" t="s">
        <v>273</v>
      </c>
      <c r="D10" s="78" t="s">
        <v>274</v>
      </c>
      <c r="E10" s="79" t="s">
        <v>268</v>
      </c>
    </row>
    <row r="11" customFormat="false" ht="36" hidden="false" customHeight="true" outlineLevel="0" collapsed="false">
      <c r="B11" s="19" t="s">
        <v>275</v>
      </c>
      <c r="C11" s="43" t="s">
        <v>276</v>
      </c>
      <c r="D11" s="80" t="s">
        <v>277</v>
      </c>
      <c r="E11" s="81" t="s">
        <v>268</v>
      </c>
    </row>
    <row r="12" customFormat="false" ht="36" hidden="false" customHeight="true" outlineLevel="0" collapsed="false">
      <c r="B12" s="15" t="s">
        <v>278</v>
      </c>
      <c r="C12" s="52" t="s">
        <v>279</v>
      </c>
      <c r="D12" s="78" t="s">
        <v>280</v>
      </c>
      <c r="E12" s="79" t="s">
        <v>268</v>
      </c>
    </row>
    <row r="13" customFormat="false" ht="36" hidden="false" customHeight="true" outlineLevel="0" collapsed="false">
      <c r="B13" s="19" t="s">
        <v>281</v>
      </c>
      <c r="C13" s="43" t="s">
        <v>282</v>
      </c>
      <c r="D13" s="80" t="s">
        <v>283</v>
      </c>
      <c r="E13" s="81" t="s">
        <v>268</v>
      </c>
    </row>
    <row r="14" customFormat="false" ht="36" hidden="false" customHeight="true" outlineLevel="0" collapsed="false">
      <c r="B14" s="15" t="s">
        <v>284</v>
      </c>
      <c r="C14" s="52" t="s">
        <v>285</v>
      </c>
      <c r="D14" s="78" t="s">
        <v>286</v>
      </c>
      <c r="E14" s="79" t="s">
        <v>268</v>
      </c>
    </row>
    <row r="15" customFormat="false" ht="36" hidden="false" customHeight="true" outlineLevel="0" collapsed="false">
      <c r="B15" s="19" t="s">
        <v>287</v>
      </c>
      <c r="C15" s="43" t="s">
        <v>288</v>
      </c>
      <c r="D15" s="80" t="s">
        <v>289</v>
      </c>
      <c r="E15" s="81" t="s">
        <v>268</v>
      </c>
    </row>
    <row r="16" customFormat="false" ht="36" hidden="false" customHeight="true" outlineLevel="0" collapsed="false">
      <c r="B16" s="15" t="s">
        <v>290</v>
      </c>
      <c r="C16" s="52" t="s">
        <v>291</v>
      </c>
      <c r="D16" s="78" t="s">
        <v>292</v>
      </c>
      <c r="E16" s="79" t="s">
        <v>268</v>
      </c>
    </row>
    <row r="17" customFormat="false" ht="36" hidden="false" customHeight="true" outlineLevel="0" collapsed="false">
      <c r="B17" s="19" t="s">
        <v>293</v>
      </c>
      <c r="C17" s="43" t="s">
        <v>294</v>
      </c>
      <c r="D17" s="80" t="s">
        <v>295</v>
      </c>
      <c r="E17" s="81" t="s">
        <v>268</v>
      </c>
    </row>
    <row r="18" customFormat="false" ht="36" hidden="false" customHeight="true" outlineLevel="0" collapsed="false">
      <c r="B18" s="15" t="s">
        <v>296</v>
      </c>
      <c r="C18" s="52" t="s">
        <v>297</v>
      </c>
      <c r="D18" s="78" t="s">
        <v>298</v>
      </c>
      <c r="E18" s="79" t="s">
        <v>268</v>
      </c>
    </row>
    <row r="19" customFormat="false" ht="36" hidden="false" customHeight="true" outlineLevel="0" collapsed="false">
      <c r="B19" s="19" t="s">
        <v>299</v>
      </c>
      <c r="C19" s="43" t="s">
        <v>300</v>
      </c>
      <c r="D19" s="80" t="s">
        <v>301</v>
      </c>
      <c r="E19" s="81" t="s">
        <v>268</v>
      </c>
    </row>
    <row r="20" customFormat="false" ht="36" hidden="false" customHeight="true" outlineLevel="0" collapsed="false">
      <c r="B20" s="15" t="s">
        <v>302</v>
      </c>
      <c r="C20" s="52" t="s">
        <v>303</v>
      </c>
      <c r="D20" s="78" t="s">
        <v>304</v>
      </c>
      <c r="E20" s="79" t="s">
        <v>268</v>
      </c>
    </row>
    <row r="21" customFormat="false" ht="36" hidden="false" customHeight="true" outlineLevel="0" collapsed="false">
      <c r="B21" s="19" t="s">
        <v>305</v>
      </c>
      <c r="C21" s="43" t="s">
        <v>306</v>
      </c>
      <c r="D21" s="80" t="s">
        <v>307</v>
      </c>
      <c r="E21" s="81" t="s">
        <v>268</v>
      </c>
    </row>
    <row r="22" customFormat="false" ht="36" hidden="false" customHeight="true" outlineLevel="0" collapsed="false">
      <c r="B22" s="15" t="s">
        <v>308</v>
      </c>
      <c r="C22" s="52" t="s">
        <v>309</v>
      </c>
      <c r="D22" s="78" t="s">
        <v>310</v>
      </c>
      <c r="E22" s="79" t="s">
        <v>268</v>
      </c>
    </row>
    <row r="23" customFormat="false" ht="36" hidden="false" customHeight="true" outlineLevel="0" collapsed="false">
      <c r="B23" s="19" t="s">
        <v>311</v>
      </c>
      <c r="C23" s="43" t="s">
        <v>312</v>
      </c>
      <c r="D23" s="80" t="s">
        <v>313</v>
      </c>
      <c r="E23" s="81" t="s">
        <v>268</v>
      </c>
    </row>
    <row r="24" customFormat="false" ht="36" hidden="false" customHeight="true" outlineLevel="0" collapsed="false">
      <c r="B24" s="15" t="s">
        <v>314</v>
      </c>
      <c r="C24" s="52" t="s">
        <v>315</v>
      </c>
      <c r="D24" s="78" t="s">
        <v>316</v>
      </c>
      <c r="E24" s="79" t="s">
        <v>268</v>
      </c>
    </row>
    <row r="25" customFormat="false" ht="36" hidden="false" customHeight="true" outlineLevel="0" collapsed="false">
      <c r="B25" s="19" t="s">
        <v>317</v>
      </c>
      <c r="C25" s="43" t="s">
        <v>318</v>
      </c>
      <c r="D25" s="54" t="s">
        <v>319</v>
      </c>
      <c r="E25" s="81" t="s">
        <v>268</v>
      </c>
    </row>
    <row r="26" customFormat="false" ht="36" hidden="false" customHeight="true" outlineLevel="0" collapsed="false">
      <c r="B26" s="15" t="s">
        <v>320</v>
      </c>
      <c r="C26" s="52" t="s">
        <v>318</v>
      </c>
      <c r="D26" s="53" t="s">
        <v>321</v>
      </c>
      <c r="E26" s="79" t="s">
        <v>268</v>
      </c>
    </row>
    <row r="27" customFormat="false" ht="36" hidden="false" customHeight="true" outlineLevel="0" collapsed="false">
      <c r="B27" s="19" t="s">
        <v>322</v>
      </c>
      <c r="C27" s="43" t="s">
        <v>323</v>
      </c>
      <c r="D27" s="54" t="s">
        <v>324</v>
      </c>
      <c r="E27" s="81" t="s">
        <v>268</v>
      </c>
    </row>
    <row r="28" customFormat="false" ht="36" hidden="false" customHeight="true" outlineLevel="0" collapsed="false">
      <c r="B28" s="15" t="s">
        <v>325</v>
      </c>
      <c r="C28" s="52" t="s">
        <v>326</v>
      </c>
      <c r="D28" s="53" t="s">
        <v>327</v>
      </c>
      <c r="E28" s="79" t="s">
        <v>268</v>
      </c>
    </row>
    <row r="30" customFormat="false" ht="31.5" hidden="false" customHeight="true" outlineLevel="0" collapsed="false">
      <c r="B30" s="38" t="s">
        <v>328</v>
      </c>
      <c r="C30" s="38"/>
      <c r="D30" s="38"/>
      <c r="E30" s="38"/>
    </row>
  </sheetData>
  <mergeCells count="3">
    <mergeCell ref="B3:E3"/>
    <mergeCell ref="B4:E4"/>
    <mergeCell ref="B30:E30"/>
  </mergeCells>
  <hyperlinks>
    <hyperlink ref="D8" r:id="rId1" display="https://www.grandviewresearch.com/industry-analysis/3d-printing-industry-analysis"/>
    <hyperlink ref="D9" r:id="rId2" display="https://marketintelo.com/report/tabletop-miniatures-game-market"/>
    <hyperlink ref="D10" r:id="rId3" display="https://www.marketresearchfuture.com/reports/table-top-games-market-10297"/>
    <hyperlink ref="D11" r:id="rId4" display="https://genesysgrowth.com/blog/customer-acquisition-cost-benchmarks-for-marketing-leaders"/>
    <hyperlink ref="D12" r:id="rId5" display="https://www.phoenixstrategy.group/blog/cac-benchmarks-by-channel-2025"/>
    <hyperlink ref="D13" r:id="rId6" display="https://www.shopify.com/blog/customer-acquisition-cost-by-industry"/>
    <hyperlink ref="D14" r:id="rId7" display="https://razorpay.com/learn/customer-acquisition-cost/"/>
    <hyperlink ref="D15" r:id="rId8" display="https://www.mobiloud.com/blog/repeat-customer-rate-ecommerce"/>
    <hyperlink ref="D16" r:id="rId9" display="https://www.opensend.com/post/repeat-purchase-rate-ecommerce"/>
    <hyperlink ref="D17" r:id="rId10" display="https://www.envive.ai/post/customer-retention-in-ecommerce-statistics"/>
    <hyperlink ref="D18" r:id="rId11" display="https://www.deloittedigital.com/us/en/insights/perspective/personalization-customer-personas.html"/>
    <hyperlink ref="D19" r:id="rId12" display="https://www.mckinsey.com/capabilities/growth-marketing-and-sales/our-insights/the-future-of-personalization-and-how-to-get-ready-for-it"/>
    <hyperlink ref="D20" r:id="rId13" display="https://www.voxelmatters.com/independent-test-shows-99-print-success-rate-for-form-4/"/>
    <hyperlink ref="D21" r:id="rId14" display="https://www.sciencedirect.com/science/article/pii/S2212827118312861"/>
    <hyperlink ref="D22" r:id="rId15" display="https://forum.prusa3d.com/forum/original-prusa-i3-mmu2s-mmu2-general-discussion-announcements-and-releases/thank-you-prusa-for-sharing-failure-statistics/"/>
    <hyperlink ref="D23" r:id="rId16" display="https://www.shapeways.com/support/pricing"/>
    <hyperlink ref="D24" r:id="rId17" display="https://3dspro.com/resources/blog/how-much-does-3d-printing-co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2026-04-30T17:58:06Z</dcterms:created>
  <dc:creator>openpyxl</dc:creator>
  <dc:description/>
  <dc:language>en-US</dc:language>
  <cp:lastModifiedBy/>
  <dcterms:modified xsi:type="dcterms:W3CDTF">2026-04-30T17:58:07Z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